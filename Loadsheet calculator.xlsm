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drawings/drawing9.xml" ContentType="application/vnd.openxmlformats-officedocument.drawingml.chartshapes+xml"/>
  <Override PartName="/xl/charts/chart3.xml" ContentType="application/vnd.openxmlformats-officedocument.drawingml.chart+xml"/>
  <Override PartName="/xl/drawings/drawing10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Patrick\Desktop\Dev\Loadsheet calculator\"/>
    </mc:Choice>
  </mc:AlternateContent>
  <xr:revisionPtr revIDLastSave="0" documentId="13_ncr:1_{5F568C26-983F-4BEA-8ED6-BDA9BC05AEFA}" xr6:coauthVersionLast="47" xr6:coauthVersionMax="47" xr10:uidLastSave="{00000000-0000-0000-0000-000000000000}"/>
  <bookViews>
    <workbookView showSheetTabs="0" xWindow="-120" yWindow="-120" windowWidth="29040" windowHeight="15840" activeTab="3" xr2:uid="{00000000-000D-0000-FFFF-FFFF00000000}"/>
  </bookViews>
  <sheets>
    <sheet name="Crew" sheetId="11" r:id="rId1"/>
    <sheet name="Section Trim" sheetId="9" r:id="rId2"/>
    <sheet name="Seatrow Trim" sheetId="8" r:id="rId3"/>
    <sheet name="Loadsheet OCC" sheetId="7" r:id="rId4"/>
    <sheet name="Aircraft Data" sheetId="10" r:id="rId5"/>
    <sheet name="Loadsheet" sheetId="1" r:id="rId6"/>
    <sheet name="Pax" sheetId="2" r:id="rId7"/>
    <sheet name="Cargo" sheetId="3" r:id="rId8"/>
    <sheet name="Fuel" sheetId="4" r:id="rId9"/>
    <sheet name="Graph Calculation" sheetId="5" state="hidden" r:id="rId10"/>
    <sheet name="Tabelle1" sheetId="12" r:id="rId11"/>
    <sheet name="Log" sheetId="13" r:id="rId12"/>
  </sheets>
  <functionGroups builtInGroupCount="19"/>
  <definedNames>
    <definedName name="_xlnm._FilterDatabase" localSheetId="11" hidden="1">Log!$A$1:$AZ$23</definedName>
    <definedName name="OLE_LINK16" localSheetId="4">'Aircraft Data'!$B$23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9" l="1"/>
  <c r="C11" i="9"/>
  <c r="D12" i="9" s="1"/>
  <c r="V33" i="7"/>
  <c r="E19" i="7"/>
  <c r="B42" i="7"/>
  <c r="B36" i="7"/>
  <c r="B27" i="7"/>
  <c r="H2" i="7"/>
  <c r="C87" i="12"/>
  <c r="C85" i="12"/>
  <c r="C83" i="12"/>
  <c r="K9" i="8"/>
  <c r="S3" i="8"/>
  <c r="S4" i="8"/>
  <c r="S5" i="8"/>
  <c r="S6" i="8"/>
  <c r="S7" i="8"/>
  <c r="S8" i="8"/>
  <c r="S9" i="8"/>
  <c r="S10" i="8"/>
  <c r="S11" i="8"/>
  <c r="S12" i="8"/>
  <c r="S13" i="8"/>
  <c r="S14" i="8"/>
  <c r="S15" i="8"/>
  <c r="S16" i="8"/>
  <c r="S17" i="8"/>
  <c r="S18" i="8"/>
  <c r="S19" i="8"/>
  <c r="S20" i="8"/>
  <c r="S21" i="8"/>
  <c r="S22" i="8"/>
  <c r="S23" i="8"/>
  <c r="S24" i="8"/>
  <c r="S25" i="8"/>
  <c r="S26" i="8"/>
  <c r="S27" i="8"/>
  <c r="S28" i="8"/>
  <c r="S29" i="8"/>
  <c r="S2" i="8"/>
  <c r="G2" i="2"/>
  <c r="J51" i="10"/>
  <c r="J50" i="10"/>
  <c r="V24" i="7"/>
  <c r="AT23" i="7"/>
  <c r="C6" i="3"/>
  <c r="B6" i="3"/>
  <c r="AT22" i="7" s="1"/>
  <c r="AT34" i="1"/>
  <c r="C21" i="9" l="1"/>
  <c r="AT27" i="7"/>
  <c r="F9" i="12" s="1"/>
  <c r="D18" i="9"/>
  <c r="E18" i="9" s="1"/>
  <c r="D17" i="9"/>
  <c r="D19" i="9"/>
  <c r="E19" i="9" s="1"/>
  <c r="AT24" i="1"/>
  <c r="AT23" i="1"/>
  <c r="AT26" i="1"/>
  <c r="AT25" i="1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2" i="3"/>
  <c r="G3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2" i="3"/>
  <c r="G2" i="3"/>
  <c r="K25" i="2"/>
  <c r="K15" i="2"/>
  <c r="K6" i="2"/>
  <c r="E19" i="2"/>
  <c r="F19" i="2"/>
  <c r="G19" i="2"/>
  <c r="E17" i="9" l="1"/>
  <c r="D21" i="9"/>
  <c r="E21" i="9"/>
  <c r="V25" i="7"/>
  <c r="V27" i="7"/>
  <c r="P14" i="5"/>
  <c r="E29" i="2"/>
  <c r="E28" i="2"/>
  <c r="E27" i="2"/>
  <c r="E26" i="2"/>
  <c r="E25" i="2"/>
  <c r="E24" i="2"/>
  <c r="E23" i="2"/>
  <c r="E22" i="2"/>
  <c r="E21" i="2"/>
  <c r="E20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F29" i="2"/>
  <c r="F28" i="2"/>
  <c r="F27" i="2"/>
  <c r="F26" i="2"/>
  <c r="F25" i="2"/>
  <c r="F24" i="2"/>
  <c r="F23" i="2"/>
  <c r="F22" i="2"/>
  <c r="F21" i="2"/>
  <c r="F20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  <c r="F2" i="2"/>
  <c r="G29" i="2"/>
  <c r="G28" i="2"/>
  <c r="G27" i="2"/>
  <c r="G26" i="2"/>
  <c r="G25" i="2"/>
  <c r="G24" i="2"/>
  <c r="G23" i="2"/>
  <c r="G22" i="2"/>
  <c r="G21" i="2"/>
  <c r="G20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B31" i="4"/>
  <c r="D31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5" i="4"/>
  <c r="B4" i="4"/>
  <c r="B28" i="7" l="1"/>
  <c r="AT28" i="7"/>
  <c r="V36" i="7"/>
  <c r="E9" i="12"/>
  <c r="I2" i="2"/>
  <c r="AT36" i="7"/>
  <c r="F10" i="12" s="1"/>
  <c r="H12" i="2"/>
  <c r="H21" i="2"/>
  <c r="V59" i="2" s="1"/>
  <c r="X59" i="2" s="1"/>
  <c r="I12" i="2"/>
  <c r="O58" i="2" s="1"/>
  <c r="H2" i="2"/>
  <c r="F32" i="2" s="1"/>
  <c r="G32" i="2"/>
  <c r="I21" i="2"/>
  <c r="E20" i="1"/>
  <c r="AE15" i="1"/>
  <c r="AE13" i="1"/>
  <c r="AM20" i="1"/>
  <c r="J18" i="1"/>
  <c r="J16" i="1"/>
  <c r="J15" i="1"/>
  <c r="J14" i="1"/>
  <c r="J13" i="1"/>
  <c r="J12" i="1"/>
  <c r="J11" i="1"/>
  <c r="J17" i="1"/>
  <c r="V36" i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AN21" i="5"/>
  <c r="AO21" i="5"/>
  <c r="AP21" i="5"/>
  <c r="AQ21" i="5"/>
  <c r="AR21" i="5"/>
  <c r="AS21" i="5"/>
  <c r="AT21" i="5"/>
  <c r="AU21" i="5"/>
  <c r="AV21" i="5"/>
  <c r="AW21" i="5"/>
  <c r="AX21" i="5"/>
  <c r="AY21" i="5"/>
  <c r="AZ21" i="5"/>
  <c r="AN20" i="5"/>
  <c r="AO20" i="5"/>
  <c r="AP20" i="5"/>
  <c r="AQ20" i="5"/>
  <c r="AR20" i="5"/>
  <c r="AS20" i="5"/>
  <c r="AT20" i="5"/>
  <c r="AU20" i="5"/>
  <c r="AV20" i="5"/>
  <c r="AW20" i="5"/>
  <c r="AX20" i="5"/>
  <c r="AY20" i="5"/>
  <c r="AZ20" i="5"/>
  <c r="AZ2" i="5"/>
  <c r="AZ3" i="5"/>
  <c r="AZ4" i="5"/>
  <c r="AZ5" i="5"/>
  <c r="AZ6" i="5"/>
  <c r="AZ7" i="5"/>
  <c r="AZ8" i="5"/>
  <c r="AZ9" i="5"/>
  <c r="AZ10" i="5"/>
  <c r="AZ11" i="5"/>
  <c r="AZ12" i="5"/>
  <c r="AZ13" i="5"/>
  <c r="AZ14" i="5"/>
  <c r="AZ15" i="5"/>
  <c r="AZ16" i="5"/>
  <c r="AZ17" i="5"/>
  <c r="AZ18" i="5"/>
  <c r="AZ19" i="5"/>
  <c r="AN2" i="5"/>
  <c r="AO2" i="5"/>
  <c r="AP2" i="5"/>
  <c r="AQ2" i="5"/>
  <c r="AR2" i="5"/>
  <c r="AS2" i="5"/>
  <c r="AT2" i="5"/>
  <c r="AU2" i="5"/>
  <c r="AV2" i="5"/>
  <c r="AW2" i="5"/>
  <c r="AX2" i="5"/>
  <c r="AY2" i="5"/>
  <c r="BC37" i="5"/>
  <c r="BB37" i="5"/>
  <c r="BA37" i="5"/>
  <c r="AZ37" i="5"/>
  <c r="AY37" i="5"/>
  <c r="BE32" i="5"/>
  <c r="BD32" i="5"/>
  <c r="BC32" i="5"/>
  <c r="BB32" i="5"/>
  <c r="AY32" i="5"/>
  <c r="AV32" i="5"/>
  <c r="AX41" i="5"/>
  <c r="AO32" i="5"/>
  <c r="AN41" i="5"/>
  <c r="AO41" i="5"/>
  <c r="AP32" i="5"/>
  <c r="AP41" i="5"/>
  <c r="AU32" i="5"/>
  <c r="AW41" i="5"/>
  <c r="AZ32" i="5"/>
  <c r="BA32" i="5"/>
  <c r="AV41" i="5"/>
  <c r="AU41" i="5"/>
  <c r="AT32" i="5"/>
  <c r="AQ41" i="5"/>
  <c r="AT41" i="5"/>
  <c r="AS41" i="5"/>
  <c r="AR41" i="5"/>
  <c r="AQ32" i="5"/>
  <c r="AR32" i="5"/>
  <c r="AS32" i="5"/>
  <c r="AN32" i="5"/>
  <c r="B40" i="5"/>
  <c r="AN12" i="5"/>
  <c r="AO12" i="5"/>
  <c r="AP12" i="5"/>
  <c r="AQ12" i="5"/>
  <c r="AR12" i="5"/>
  <c r="AS12" i="5"/>
  <c r="AT12" i="5"/>
  <c r="AU12" i="5"/>
  <c r="AV12" i="5"/>
  <c r="AW12" i="5"/>
  <c r="AX12" i="5"/>
  <c r="AY12" i="5"/>
  <c r="AN13" i="5"/>
  <c r="AO13" i="5"/>
  <c r="AP13" i="5"/>
  <c r="AQ13" i="5"/>
  <c r="AR13" i="5"/>
  <c r="AS13" i="5"/>
  <c r="AT13" i="5"/>
  <c r="AU13" i="5"/>
  <c r="AV13" i="5"/>
  <c r="AW13" i="5"/>
  <c r="AX13" i="5"/>
  <c r="AY13" i="5"/>
  <c r="AN14" i="5"/>
  <c r="AO14" i="5"/>
  <c r="AP14" i="5"/>
  <c r="AQ14" i="5"/>
  <c r="AR14" i="5"/>
  <c r="AS14" i="5"/>
  <c r="AT14" i="5"/>
  <c r="AU14" i="5"/>
  <c r="AV14" i="5"/>
  <c r="AW14" i="5"/>
  <c r="AX14" i="5"/>
  <c r="AY14" i="5"/>
  <c r="AN15" i="5"/>
  <c r="AO15" i="5"/>
  <c r="AP15" i="5"/>
  <c r="AQ15" i="5"/>
  <c r="AR15" i="5"/>
  <c r="AS15" i="5"/>
  <c r="AT15" i="5"/>
  <c r="AU15" i="5"/>
  <c r="AV15" i="5"/>
  <c r="AW15" i="5"/>
  <c r="AX15" i="5"/>
  <c r="AY15" i="5"/>
  <c r="AN16" i="5"/>
  <c r="AO16" i="5"/>
  <c r="AP16" i="5"/>
  <c r="AQ16" i="5"/>
  <c r="AR16" i="5"/>
  <c r="AS16" i="5"/>
  <c r="AT16" i="5"/>
  <c r="AU16" i="5"/>
  <c r="AV16" i="5"/>
  <c r="AW16" i="5"/>
  <c r="AX16" i="5"/>
  <c r="AY16" i="5"/>
  <c r="AN17" i="5"/>
  <c r="AO17" i="5"/>
  <c r="AP17" i="5"/>
  <c r="AQ17" i="5"/>
  <c r="AR17" i="5"/>
  <c r="AS17" i="5"/>
  <c r="AT17" i="5"/>
  <c r="AU17" i="5"/>
  <c r="AV17" i="5"/>
  <c r="AW17" i="5"/>
  <c r="AX17" i="5"/>
  <c r="AY17" i="5"/>
  <c r="AN18" i="5"/>
  <c r="AO18" i="5"/>
  <c r="AP18" i="5"/>
  <c r="AQ18" i="5"/>
  <c r="AR18" i="5"/>
  <c r="AS18" i="5"/>
  <c r="AT18" i="5"/>
  <c r="AU18" i="5"/>
  <c r="AV18" i="5"/>
  <c r="AW18" i="5"/>
  <c r="AX18" i="5"/>
  <c r="AY18" i="5"/>
  <c r="AN19" i="5"/>
  <c r="AO19" i="5"/>
  <c r="AP19" i="5"/>
  <c r="AQ19" i="5"/>
  <c r="AR19" i="5"/>
  <c r="AS19" i="5"/>
  <c r="AT19" i="5"/>
  <c r="AU19" i="5"/>
  <c r="AV19" i="5"/>
  <c r="AW19" i="5"/>
  <c r="AX19" i="5"/>
  <c r="AY19" i="5"/>
  <c r="AN3" i="5"/>
  <c r="AO3" i="5"/>
  <c r="AP3" i="5"/>
  <c r="AQ3" i="5"/>
  <c r="AR3" i="5"/>
  <c r="AS3" i="5"/>
  <c r="AT3" i="5"/>
  <c r="AU3" i="5"/>
  <c r="AV3" i="5"/>
  <c r="AW3" i="5"/>
  <c r="AX3" i="5"/>
  <c r="AY3" i="5"/>
  <c r="AN4" i="5"/>
  <c r="AO4" i="5"/>
  <c r="AP4" i="5"/>
  <c r="AQ4" i="5"/>
  <c r="AR4" i="5"/>
  <c r="AS4" i="5"/>
  <c r="AT4" i="5"/>
  <c r="AU4" i="5"/>
  <c r="AV4" i="5"/>
  <c r="AW4" i="5"/>
  <c r="AX4" i="5"/>
  <c r="AY4" i="5"/>
  <c r="AN5" i="5"/>
  <c r="AO5" i="5"/>
  <c r="AP5" i="5"/>
  <c r="AQ5" i="5"/>
  <c r="AR5" i="5"/>
  <c r="AS5" i="5"/>
  <c r="AT5" i="5"/>
  <c r="AU5" i="5"/>
  <c r="AV5" i="5"/>
  <c r="AW5" i="5"/>
  <c r="AX5" i="5"/>
  <c r="AY5" i="5"/>
  <c r="AN6" i="5"/>
  <c r="AO6" i="5"/>
  <c r="AP6" i="5"/>
  <c r="AQ6" i="5"/>
  <c r="AR6" i="5"/>
  <c r="AS6" i="5"/>
  <c r="AT6" i="5"/>
  <c r="AU6" i="5"/>
  <c r="AV6" i="5"/>
  <c r="AW6" i="5"/>
  <c r="AX6" i="5"/>
  <c r="AY6" i="5"/>
  <c r="AN7" i="5"/>
  <c r="AO7" i="5"/>
  <c r="AP7" i="5"/>
  <c r="AQ7" i="5"/>
  <c r="AR7" i="5"/>
  <c r="AS7" i="5"/>
  <c r="AT7" i="5"/>
  <c r="AU7" i="5"/>
  <c r="AV7" i="5"/>
  <c r="AW7" i="5"/>
  <c r="AX7" i="5"/>
  <c r="AY7" i="5"/>
  <c r="AN8" i="5"/>
  <c r="AO8" i="5"/>
  <c r="AP8" i="5"/>
  <c r="AQ8" i="5"/>
  <c r="AR8" i="5"/>
  <c r="AS8" i="5"/>
  <c r="AT8" i="5"/>
  <c r="AU8" i="5"/>
  <c r="AV8" i="5"/>
  <c r="AW8" i="5"/>
  <c r="AX8" i="5"/>
  <c r="AY8" i="5"/>
  <c r="AN9" i="5"/>
  <c r="AO9" i="5"/>
  <c r="AP9" i="5"/>
  <c r="AQ9" i="5"/>
  <c r="AR9" i="5"/>
  <c r="AS9" i="5"/>
  <c r="AT9" i="5"/>
  <c r="AU9" i="5"/>
  <c r="AV9" i="5"/>
  <c r="AW9" i="5"/>
  <c r="AX9" i="5"/>
  <c r="AY9" i="5"/>
  <c r="AN10" i="5"/>
  <c r="AO10" i="5"/>
  <c r="AP10" i="5"/>
  <c r="AQ10" i="5"/>
  <c r="AR10" i="5"/>
  <c r="AS10" i="5"/>
  <c r="AT10" i="5"/>
  <c r="AU10" i="5"/>
  <c r="AV10" i="5"/>
  <c r="AW10" i="5"/>
  <c r="AX10" i="5"/>
  <c r="AY10" i="5"/>
  <c r="AN11" i="5"/>
  <c r="AO11" i="5"/>
  <c r="AP11" i="5"/>
  <c r="AQ11" i="5"/>
  <c r="AR11" i="5"/>
  <c r="AS11" i="5"/>
  <c r="AT11" i="5"/>
  <c r="AU11" i="5"/>
  <c r="AV11" i="5"/>
  <c r="AW11" i="5"/>
  <c r="AX11" i="5"/>
  <c r="AY11" i="5"/>
  <c r="B34" i="5"/>
  <c r="Z3" i="5"/>
  <c r="AA3" i="5"/>
  <c r="AB3" i="5"/>
  <c r="AC3" i="5"/>
  <c r="AD3" i="5"/>
  <c r="AE3" i="5"/>
  <c r="AF3" i="5"/>
  <c r="AG3" i="5"/>
  <c r="AH3" i="5"/>
  <c r="AI3" i="5"/>
  <c r="AJ3" i="5"/>
  <c r="AK3" i="5"/>
  <c r="Z4" i="5"/>
  <c r="AA4" i="5"/>
  <c r="AB4" i="5"/>
  <c r="AC4" i="5"/>
  <c r="AD4" i="5"/>
  <c r="AE4" i="5"/>
  <c r="AF4" i="5"/>
  <c r="AG4" i="5"/>
  <c r="AH4" i="5"/>
  <c r="AI4" i="5"/>
  <c r="AJ4" i="5"/>
  <c r="AK4" i="5"/>
  <c r="Z5" i="5"/>
  <c r="AA5" i="5"/>
  <c r="AB5" i="5"/>
  <c r="AC5" i="5"/>
  <c r="AD5" i="5"/>
  <c r="AE5" i="5"/>
  <c r="AF5" i="5"/>
  <c r="AG5" i="5"/>
  <c r="AH5" i="5"/>
  <c r="AI5" i="5"/>
  <c r="AJ5" i="5"/>
  <c r="AK5" i="5"/>
  <c r="Z6" i="5"/>
  <c r="AA6" i="5"/>
  <c r="AB6" i="5"/>
  <c r="AC6" i="5"/>
  <c r="AD6" i="5"/>
  <c r="AE6" i="5"/>
  <c r="AF6" i="5"/>
  <c r="AG6" i="5"/>
  <c r="AH6" i="5"/>
  <c r="AI6" i="5"/>
  <c r="AJ6" i="5"/>
  <c r="AK6" i="5"/>
  <c r="Z7" i="5"/>
  <c r="AA7" i="5"/>
  <c r="AB7" i="5"/>
  <c r="AC7" i="5"/>
  <c r="AD7" i="5"/>
  <c r="AE7" i="5"/>
  <c r="AF7" i="5"/>
  <c r="AG7" i="5"/>
  <c r="AH7" i="5"/>
  <c r="AI7" i="5"/>
  <c r="AJ7" i="5"/>
  <c r="AK7" i="5"/>
  <c r="Z8" i="5"/>
  <c r="AA8" i="5"/>
  <c r="AB8" i="5"/>
  <c r="AC8" i="5"/>
  <c r="AD8" i="5"/>
  <c r="AE8" i="5"/>
  <c r="AF8" i="5"/>
  <c r="AG8" i="5"/>
  <c r="AH8" i="5"/>
  <c r="AI8" i="5"/>
  <c r="AJ8" i="5"/>
  <c r="AK8" i="5"/>
  <c r="Z9" i="5"/>
  <c r="AA9" i="5"/>
  <c r="AB9" i="5"/>
  <c r="AC9" i="5"/>
  <c r="AD9" i="5"/>
  <c r="AE9" i="5"/>
  <c r="AF9" i="5"/>
  <c r="AG9" i="5"/>
  <c r="AH9" i="5"/>
  <c r="AI9" i="5"/>
  <c r="AJ9" i="5"/>
  <c r="AK9" i="5"/>
  <c r="Z10" i="5"/>
  <c r="AA10" i="5"/>
  <c r="AB10" i="5"/>
  <c r="AC10" i="5"/>
  <c r="AD10" i="5"/>
  <c r="AE10" i="5"/>
  <c r="AF10" i="5"/>
  <c r="AG10" i="5"/>
  <c r="AH10" i="5"/>
  <c r="AI10" i="5"/>
  <c r="AJ10" i="5"/>
  <c r="AK10" i="5"/>
  <c r="Z11" i="5"/>
  <c r="AA11" i="5"/>
  <c r="AB11" i="5"/>
  <c r="AC11" i="5"/>
  <c r="AD11" i="5"/>
  <c r="AE11" i="5"/>
  <c r="AF11" i="5"/>
  <c r="AG11" i="5"/>
  <c r="AH11" i="5"/>
  <c r="AI11" i="5"/>
  <c r="AJ11" i="5"/>
  <c r="AK11" i="5"/>
  <c r="Z12" i="5"/>
  <c r="AA12" i="5"/>
  <c r="AB12" i="5"/>
  <c r="AC12" i="5"/>
  <c r="AD12" i="5"/>
  <c r="AE12" i="5"/>
  <c r="AF12" i="5"/>
  <c r="AG12" i="5"/>
  <c r="AH12" i="5"/>
  <c r="AI12" i="5"/>
  <c r="AJ12" i="5"/>
  <c r="AK12" i="5"/>
  <c r="Z13" i="5"/>
  <c r="AA13" i="5"/>
  <c r="AB13" i="5"/>
  <c r="AC13" i="5"/>
  <c r="AD13" i="5"/>
  <c r="AE13" i="5"/>
  <c r="AF13" i="5"/>
  <c r="AG13" i="5"/>
  <c r="AH13" i="5"/>
  <c r="AI13" i="5"/>
  <c r="AJ13" i="5"/>
  <c r="AK13" i="5"/>
  <c r="Z14" i="5"/>
  <c r="AA14" i="5"/>
  <c r="AB14" i="5"/>
  <c r="AC14" i="5"/>
  <c r="AD14" i="5"/>
  <c r="AE14" i="5"/>
  <c r="AF14" i="5"/>
  <c r="AG14" i="5"/>
  <c r="AH14" i="5"/>
  <c r="AI14" i="5"/>
  <c r="AJ14" i="5"/>
  <c r="AK14" i="5"/>
  <c r="Z15" i="5"/>
  <c r="AA15" i="5"/>
  <c r="AB15" i="5"/>
  <c r="AC15" i="5"/>
  <c r="AD15" i="5"/>
  <c r="AE15" i="5"/>
  <c r="AF15" i="5"/>
  <c r="AG15" i="5"/>
  <c r="AH15" i="5"/>
  <c r="AI15" i="5"/>
  <c r="AJ15" i="5"/>
  <c r="AK15" i="5"/>
  <c r="Z16" i="5"/>
  <c r="AA16" i="5"/>
  <c r="AB16" i="5"/>
  <c r="AC16" i="5"/>
  <c r="AD16" i="5"/>
  <c r="AE16" i="5"/>
  <c r="AF16" i="5"/>
  <c r="AG16" i="5"/>
  <c r="AH16" i="5"/>
  <c r="AI16" i="5"/>
  <c r="AJ16" i="5"/>
  <c r="AK16" i="5"/>
  <c r="Z17" i="5"/>
  <c r="AA17" i="5"/>
  <c r="AB17" i="5"/>
  <c r="AC17" i="5"/>
  <c r="AD17" i="5"/>
  <c r="AE17" i="5"/>
  <c r="AF17" i="5"/>
  <c r="AG17" i="5"/>
  <c r="AH17" i="5"/>
  <c r="AI17" i="5"/>
  <c r="AJ17" i="5"/>
  <c r="AK17" i="5"/>
  <c r="Z18" i="5"/>
  <c r="AA18" i="5"/>
  <c r="AB18" i="5"/>
  <c r="AC18" i="5"/>
  <c r="AD18" i="5"/>
  <c r="AE18" i="5"/>
  <c r="AF18" i="5"/>
  <c r="AG18" i="5"/>
  <c r="AH18" i="5"/>
  <c r="AI18" i="5"/>
  <c r="AJ18" i="5"/>
  <c r="AK18" i="5"/>
  <c r="Z19" i="5"/>
  <c r="AA19" i="5"/>
  <c r="AB19" i="5"/>
  <c r="AC19" i="5"/>
  <c r="AD19" i="5"/>
  <c r="AE19" i="5"/>
  <c r="AF19" i="5"/>
  <c r="AG19" i="5"/>
  <c r="AH19" i="5"/>
  <c r="AI19" i="5"/>
  <c r="AJ19" i="5"/>
  <c r="AK19" i="5"/>
  <c r="Z20" i="5"/>
  <c r="AA20" i="5"/>
  <c r="AB20" i="5"/>
  <c r="AC20" i="5"/>
  <c r="AD20" i="5"/>
  <c r="AE20" i="5"/>
  <c r="AF20" i="5"/>
  <c r="AG20" i="5"/>
  <c r="AH20" i="5"/>
  <c r="AI20" i="5"/>
  <c r="AJ20" i="5"/>
  <c r="AK20" i="5"/>
  <c r="Z21" i="5"/>
  <c r="AA21" i="5"/>
  <c r="AB21" i="5"/>
  <c r="AC21" i="5"/>
  <c r="AD21" i="5"/>
  <c r="AE21" i="5"/>
  <c r="AF21" i="5"/>
  <c r="AG21" i="5"/>
  <c r="AH21" i="5"/>
  <c r="AI21" i="5"/>
  <c r="AJ21" i="5"/>
  <c r="AK21" i="5"/>
  <c r="Z22" i="5"/>
  <c r="AA22" i="5"/>
  <c r="AB22" i="5"/>
  <c r="AC22" i="5"/>
  <c r="AD22" i="5"/>
  <c r="AE22" i="5"/>
  <c r="AF22" i="5"/>
  <c r="AG22" i="5"/>
  <c r="AH22" i="5"/>
  <c r="AI22" i="5"/>
  <c r="AJ22" i="5"/>
  <c r="AK22" i="5"/>
  <c r="Z23" i="5"/>
  <c r="AA23" i="5"/>
  <c r="AB23" i="5"/>
  <c r="AC23" i="5"/>
  <c r="AD23" i="5"/>
  <c r="AE23" i="5"/>
  <c r="AF23" i="5"/>
  <c r="AG23" i="5"/>
  <c r="AH23" i="5"/>
  <c r="AI23" i="5"/>
  <c r="AJ23" i="5"/>
  <c r="AK23" i="5"/>
  <c r="Z24" i="5"/>
  <c r="AA24" i="5"/>
  <c r="AB24" i="5"/>
  <c r="AC24" i="5"/>
  <c r="AD24" i="5"/>
  <c r="AE24" i="5"/>
  <c r="AF24" i="5"/>
  <c r="AG24" i="5"/>
  <c r="AH24" i="5"/>
  <c r="AI24" i="5"/>
  <c r="AJ24" i="5"/>
  <c r="AK24" i="5"/>
  <c r="Z25" i="5"/>
  <c r="AA25" i="5"/>
  <c r="AB25" i="5"/>
  <c r="AC25" i="5"/>
  <c r="AD25" i="5"/>
  <c r="AE25" i="5"/>
  <c r="AF25" i="5"/>
  <c r="AG25" i="5"/>
  <c r="AH25" i="5"/>
  <c r="AI25" i="5"/>
  <c r="AJ25" i="5"/>
  <c r="AK25" i="5"/>
  <c r="Z26" i="5"/>
  <c r="AA26" i="5"/>
  <c r="AB26" i="5"/>
  <c r="AC26" i="5"/>
  <c r="AD26" i="5"/>
  <c r="AE26" i="5"/>
  <c r="AF26" i="5"/>
  <c r="AG26" i="5"/>
  <c r="AH26" i="5"/>
  <c r="AI26" i="5"/>
  <c r="AJ26" i="5"/>
  <c r="AK26" i="5"/>
  <c r="Z27" i="5"/>
  <c r="AA27" i="5"/>
  <c r="AB27" i="5"/>
  <c r="AC27" i="5"/>
  <c r="AD27" i="5"/>
  <c r="AE27" i="5"/>
  <c r="AF27" i="5"/>
  <c r="AG27" i="5"/>
  <c r="AH27" i="5"/>
  <c r="AI27" i="5"/>
  <c r="AJ27" i="5"/>
  <c r="AK27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A29" i="5"/>
  <c r="AB29" i="5"/>
  <c r="AC29" i="5"/>
  <c r="AD29" i="5"/>
  <c r="AE29" i="5"/>
  <c r="AF29" i="5"/>
  <c r="AG29" i="5"/>
  <c r="AH29" i="5"/>
  <c r="AI29" i="5"/>
  <c r="AJ29" i="5"/>
  <c r="AK29" i="5"/>
  <c r="Z29" i="5"/>
  <c r="C15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V3" i="5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V4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V5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V6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V7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V8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V11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V12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V13" i="5"/>
  <c r="H14" i="5"/>
  <c r="I14" i="5"/>
  <c r="J14" i="5"/>
  <c r="K14" i="5"/>
  <c r="L14" i="5"/>
  <c r="M14" i="5"/>
  <c r="N14" i="5"/>
  <c r="O14" i="5"/>
  <c r="Q14" i="5"/>
  <c r="R14" i="5"/>
  <c r="S14" i="5"/>
  <c r="T14" i="5"/>
  <c r="U14" i="5"/>
  <c r="V14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V15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V16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V18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V19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V20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V21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V22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V23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V24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V25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V26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V27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V29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B22" i="5"/>
  <c r="B21" i="5"/>
  <c r="B28" i="5"/>
  <c r="C12" i="5"/>
  <c r="C5" i="5"/>
  <c r="V27" i="1"/>
  <c r="Z21" i="1" s="1"/>
  <c r="V68" i="2"/>
  <c r="X68" i="2" s="1"/>
  <c r="B37" i="7" l="1"/>
  <c r="AT38" i="7"/>
  <c r="V42" i="7"/>
  <c r="E10" i="12"/>
  <c r="N47" i="2"/>
  <c r="N48" i="2"/>
  <c r="AT42" i="7"/>
  <c r="F11" i="12" s="1"/>
  <c r="V44" i="2"/>
  <c r="X44" i="2" s="1"/>
  <c r="V55" i="2"/>
  <c r="X55" i="2" s="1"/>
  <c r="V69" i="2"/>
  <c r="X69" i="2" s="1"/>
  <c r="V47" i="2"/>
  <c r="X47" i="2" s="1"/>
  <c r="V34" i="2"/>
  <c r="X34" i="2" s="1"/>
  <c r="V71" i="2"/>
  <c r="X71" i="2" s="1"/>
  <c r="V65" i="2"/>
  <c r="X65" i="2" s="1"/>
  <c r="V43" i="2"/>
  <c r="X43" i="2" s="1"/>
  <c r="V33" i="2"/>
  <c r="X33" i="2" s="1"/>
  <c r="V56" i="2"/>
  <c r="X56" i="2" s="1"/>
  <c r="V48" i="2"/>
  <c r="X48" i="2" s="1"/>
  <c r="V63" i="2"/>
  <c r="X63" i="2" s="1"/>
  <c r="O56" i="2"/>
  <c r="N63" i="2"/>
  <c r="N44" i="2"/>
  <c r="N62" i="2"/>
  <c r="N49" i="2"/>
  <c r="O41" i="2"/>
  <c r="N46" i="2"/>
  <c r="N65" i="2"/>
  <c r="N33" i="2"/>
  <c r="N60" i="2"/>
  <c r="N51" i="2"/>
  <c r="N71" i="2"/>
  <c r="N66" i="2"/>
  <c r="N34" i="2"/>
  <c r="N61" i="2"/>
  <c r="O59" i="2"/>
  <c r="O43" i="2"/>
  <c r="O57" i="2"/>
  <c r="Q57" i="2" s="1"/>
  <c r="N50" i="2"/>
  <c r="O40" i="2"/>
  <c r="N45" i="2"/>
  <c r="N64" i="2"/>
  <c r="N32" i="2"/>
  <c r="O65" i="2"/>
  <c r="O49" i="2"/>
  <c r="O33" i="2"/>
  <c r="N58" i="2"/>
  <c r="N42" i="2"/>
  <c r="O64" i="2"/>
  <c r="Q64" i="2" s="1"/>
  <c r="O48" i="2"/>
  <c r="O32" i="2"/>
  <c r="Q32" i="2" s="1"/>
  <c r="N57" i="2"/>
  <c r="N41" i="2"/>
  <c r="O67" i="2"/>
  <c r="O51" i="2"/>
  <c r="O35" i="2"/>
  <c r="N56" i="2"/>
  <c r="N40" i="2"/>
  <c r="N59" i="2"/>
  <c r="N39" i="2"/>
  <c r="O42" i="2"/>
  <c r="O34" i="2"/>
  <c r="O69" i="2"/>
  <c r="O61" i="2"/>
  <c r="O45" i="2"/>
  <c r="N70" i="2"/>
  <c r="N54" i="2"/>
  <c r="N38" i="2"/>
  <c r="P38" i="2" s="1"/>
  <c r="O60" i="2"/>
  <c r="O44" i="2"/>
  <c r="N69" i="2"/>
  <c r="N53" i="2"/>
  <c r="N37" i="2"/>
  <c r="O63" i="2"/>
  <c r="O47" i="2"/>
  <c r="N68" i="2"/>
  <c r="N52" i="2"/>
  <c r="N36" i="2"/>
  <c r="N55" i="2"/>
  <c r="N35" i="2"/>
  <c r="O66" i="2"/>
  <c r="Q66" i="2" s="1"/>
  <c r="O54" i="2"/>
  <c r="Q54" i="2" s="1"/>
  <c r="O62" i="2"/>
  <c r="O50" i="2"/>
  <c r="O38" i="2"/>
  <c r="O53" i="2"/>
  <c r="O37" i="2"/>
  <c r="O68" i="2"/>
  <c r="O52" i="2"/>
  <c r="O36" i="2"/>
  <c r="O71" i="2"/>
  <c r="O55" i="2"/>
  <c r="O39" i="2"/>
  <c r="N67" i="2"/>
  <c r="N43" i="2"/>
  <c r="O46" i="2"/>
  <c r="O70" i="2"/>
  <c r="V20" i="1"/>
  <c r="V41" i="2"/>
  <c r="X41" i="2" s="1"/>
  <c r="V61" i="2"/>
  <c r="X61" i="2" s="1"/>
  <c r="V67" i="2"/>
  <c r="X67" i="2" s="1"/>
  <c r="V37" i="2"/>
  <c r="X37" i="2" s="1"/>
  <c r="V50" i="2"/>
  <c r="X50" i="2" s="1"/>
  <c r="V36" i="2"/>
  <c r="X36" i="2" s="1"/>
  <c r="V64" i="2"/>
  <c r="X64" i="2" s="1"/>
  <c r="V53" i="2"/>
  <c r="X53" i="2" s="1"/>
  <c r="V42" i="2"/>
  <c r="X42" i="2" s="1"/>
  <c r="V62" i="2"/>
  <c r="X62" i="2" s="1"/>
  <c r="V40" i="2"/>
  <c r="X40" i="2" s="1"/>
  <c r="V39" i="2"/>
  <c r="X39" i="2" s="1"/>
  <c r="V52" i="2"/>
  <c r="X52" i="2" s="1"/>
  <c r="V32" i="2"/>
  <c r="X32" i="2" s="1"/>
  <c r="V70" i="2"/>
  <c r="X70" i="2" s="1"/>
  <c r="V46" i="2"/>
  <c r="X46" i="2" s="1"/>
  <c r="V45" i="2"/>
  <c r="X45" i="2" s="1"/>
  <c r="V60" i="2"/>
  <c r="X60" i="2" s="1"/>
  <c r="V54" i="2"/>
  <c r="X54" i="2" s="1"/>
  <c r="V49" i="2"/>
  <c r="X49" i="2" s="1"/>
  <c r="V66" i="2"/>
  <c r="X66" i="2" s="1"/>
  <c r="V35" i="2"/>
  <c r="X35" i="2" s="1"/>
  <c r="V57" i="2"/>
  <c r="X57" i="2" s="1"/>
  <c r="V51" i="2"/>
  <c r="X51" i="2" s="1"/>
  <c r="V58" i="2"/>
  <c r="X58" i="2" s="1"/>
  <c r="V38" i="2"/>
  <c r="X38" i="2" s="1"/>
  <c r="W67" i="2"/>
  <c r="Y67" i="2" s="1"/>
  <c r="W56" i="2"/>
  <c r="Y56" i="2" s="1"/>
  <c r="W51" i="2"/>
  <c r="Y51" i="2" s="1"/>
  <c r="W64" i="2"/>
  <c r="Y64" i="2" s="1"/>
  <c r="W68" i="2"/>
  <c r="Y68" i="2" s="1"/>
  <c r="Q68" i="2"/>
  <c r="Q58" i="2"/>
  <c r="F63" i="2"/>
  <c r="H63" i="2" s="1"/>
  <c r="G42" i="2"/>
  <c r="I42" i="2" s="1"/>
  <c r="AM21" i="1"/>
  <c r="V21" i="1"/>
  <c r="E11" i="12" l="1"/>
  <c r="B43" i="7"/>
  <c r="M49" i="7" s="1"/>
  <c r="V30" i="1"/>
  <c r="V39" i="1" s="1"/>
  <c r="V45" i="1" s="1"/>
  <c r="V17" i="1"/>
  <c r="V28" i="1"/>
  <c r="W55" i="2"/>
  <c r="Y55" i="2" s="1"/>
  <c r="W66" i="2"/>
  <c r="Y66" i="2" s="1"/>
  <c r="W62" i="2"/>
  <c r="Y62" i="2" s="1"/>
  <c r="W50" i="2"/>
  <c r="Y50" i="2" s="1"/>
  <c r="W37" i="2"/>
  <c r="Y37" i="2" s="1"/>
  <c r="Q59" i="2"/>
  <c r="Q62" i="2"/>
  <c r="W54" i="2"/>
  <c r="Y54" i="2" s="1"/>
  <c r="W57" i="2"/>
  <c r="Y57" i="2" s="1"/>
  <c r="W40" i="2"/>
  <c r="Y40" i="2" s="1"/>
  <c r="Q37" i="2"/>
  <c r="Q47" i="2"/>
  <c r="Q45" i="2"/>
  <c r="Q42" i="2"/>
  <c r="W63" i="2"/>
  <c r="Y63" i="2" s="1"/>
  <c r="W32" i="2"/>
  <c r="Y32" i="2" s="1"/>
  <c r="W65" i="2"/>
  <c r="Y65" i="2" s="1"/>
  <c r="Q69" i="2"/>
  <c r="Q53" i="2"/>
  <c r="Q46" i="2"/>
  <c r="Q34" i="2"/>
  <c r="P44" i="2"/>
  <c r="G37" i="2"/>
  <c r="I37" i="2" s="1"/>
  <c r="F46" i="2"/>
  <c r="H46" i="2" s="1"/>
  <c r="F45" i="2"/>
  <c r="H45" i="2" s="1"/>
  <c r="H32" i="2"/>
  <c r="F49" i="2"/>
  <c r="H49" i="2" s="1"/>
  <c r="F38" i="2"/>
  <c r="H38" i="2" s="1"/>
  <c r="Q39" i="2"/>
  <c r="Q36" i="2"/>
  <c r="W45" i="2"/>
  <c r="Y45" i="2" s="1"/>
  <c r="W39" i="2"/>
  <c r="Y39" i="2" s="1"/>
  <c r="W42" i="2"/>
  <c r="Y42" i="2" s="1"/>
  <c r="W69" i="2"/>
  <c r="Y69" i="2" s="1"/>
  <c r="W71" i="2"/>
  <c r="Y71" i="2" s="1"/>
  <c r="P69" i="2"/>
  <c r="Q48" i="2"/>
  <c r="Q33" i="2"/>
  <c r="Q63" i="2"/>
  <c r="F57" i="2"/>
  <c r="H57" i="2" s="1"/>
  <c r="F53" i="2"/>
  <c r="H53" i="2" s="1"/>
  <c r="Q52" i="2"/>
  <c r="Q38" i="2"/>
  <c r="Q44" i="2"/>
  <c r="Q55" i="2"/>
  <c r="Q49" i="2"/>
  <c r="Q51" i="2"/>
  <c r="Q60" i="2"/>
  <c r="Q50" i="2"/>
  <c r="Q35" i="2"/>
  <c r="Q61" i="2"/>
  <c r="Q41" i="2"/>
  <c r="Q70" i="2"/>
  <c r="Q65" i="2"/>
  <c r="Q67" i="2"/>
  <c r="P40" i="2"/>
  <c r="Q40" i="2"/>
  <c r="Q56" i="2"/>
  <c r="Q71" i="2"/>
  <c r="Q43" i="2"/>
  <c r="P65" i="2"/>
  <c r="P43" i="2"/>
  <c r="P35" i="2"/>
  <c r="P71" i="2"/>
  <c r="P57" i="2"/>
  <c r="P67" i="2"/>
  <c r="P55" i="2"/>
  <c r="F59" i="2"/>
  <c r="H59" i="2" s="1"/>
  <c r="F47" i="2"/>
  <c r="H47" i="2" s="1"/>
  <c r="F39" i="2"/>
  <c r="H39" i="2" s="1"/>
  <c r="F51" i="2"/>
  <c r="H51" i="2" s="1"/>
  <c r="F55" i="2"/>
  <c r="H55" i="2" s="1"/>
  <c r="F56" i="2"/>
  <c r="H56" i="2" s="1"/>
  <c r="F35" i="2"/>
  <c r="H35" i="2" s="1"/>
  <c r="P63" i="2"/>
  <c r="P66" i="2"/>
  <c r="P37" i="2"/>
  <c r="P58" i="2"/>
  <c r="P33" i="2"/>
  <c r="P52" i="2"/>
  <c r="P50" i="2"/>
  <c r="P53" i="2"/>
  <c r="P42" i="2"/>
  <c r="P41" i="2"/>
  <c r="F52" i="2"/>
  <c r="H52" i="2" s="1"/>
  <c r="F48" i="2"/>
  <c r="H48" i="2" s="1"/>
  <c r="F43" i="2"/>
  <c r="H43" i="2" s="1"/>
  <c r="F62" i="2"/>
  <c r="H62" i="2" s="1"/>
  <c r="F40" i="2"/>
  <c r="H40" i="2" s="1"/>
  <c r="F36" i="2"/>
  <c r="H36" i="2" s="1"/>
  <c r="F42" i="2"/>
  <c r="H42" i="2" s="1"/>
  <c r="F58" i="2"/>
  <c r="H58" i="2" s="1"/>
  <c r="W38" i="2"/>
  <c r="Y38" i="2" s="1"/>
  <c r="W58" i="2"/>
  <c r="Y58" i="2" s="1"/>
  <c r="W52" i="2"/>
  <c r="Y52" i="2" s="1"/>
  <c r="W43" i="2"/>
  <c r="Y43" i="2" s="1"/>
  <c r="W36" i="2"/>
  <c r="Y36" i="2" s="1"/>
  <c r="W35" i="2"/>
  <c r="Y35" i="2" s="1"/>
  <c r="W70" i="2"/>
  <c r="Y70" i="2" s="1"/>
  <c r="W41" i="2"/>
  <c r="Y41" i="2" s="1"/>
  <c r="W47" i="2"/>
  <c r="Y47" i="2" s="1"/>
  <c r="W34" i="2"/>
  <c r="Y34" i="2" s="1"/>
  <c r="P56" i="2"/>
  <c r="P34" i="2"/>
  <c r="P47" i="2"/>
  <c r="P48" i="2"/>
  <c r="P32" i="2"/>
  <c r="P70" i="2"/>
  <c r="P64" i="2"/>
  <c r="P62" i="2"/>
  <c r="P39" i="2"/>
  <c r="P45" i="2"/>
  <c r="F33" i="2"/>
  <c r="H33" i="2" s="1"/>
  <c r="F34" i="2"/>
  <c r="H34" i="2" s="1"/>
  <c r="F44" i="2"/>
  <c r="H44" i="2" s="1"/>
  <c r="F54" i="2"/>
  <c r="H54" i="2" s="1"/>
  <c r="F60" i="2"/>
  <c r="H60" i="2" s="1"/>
  <c r="F41" i="2"/>
  <c r="H41" i="2" s="1"/>
  <c r="F61" i="2"/>
  <c r="H61" i="2" s="1"/>
  <c r="F50" i="2"/>
  <c r="H50" i="2" s="1"/>
  <c r="W33" i="2"/>
  <c r="Y33" i="2" s="1"/>
  <c r="W53" i="2"/>
  <c r="Y53" i="2" s="1"/>
  <c r="W59" i="2"/>
  <c r="Y59" i="2" s="1"/>
  <c r="W61" i="2"/>
  <c r="Y61" i="2" s="1"/>
  <c r="W44" i="2"/>
  <c r="Y44" i="2" s="1"/>
  <c r="W46" i="2"/>
  <c r="Y46" i="2" s="1"/>
  <c r="W49" i="2"/>
  <c r="Y49" i="2" s="1"/>
  <c r="W60" i="2"/>
  <c r="Y60" i="2" s="1"/>
  <c r="W48" i="2"/>
  <c r="Y48" i="2" s="1"/>
  <c r="P49" i="2"/>
  <c r="P36" i="2"/>
  <c r="P46" i="2"/>
  <c r="P68" i="2"/>
  <c r="P54" i="2"/>
  <c r="P59" i="2"/>
  <c r="P51" i="2"/>
  <c r="P60" i="2"/>
  <c r="P61" i="2"/>
  <c r="F37" i="2"/>
  <c r="H37" i="2" s="1"/>
  <c r="G50" i="2"/>
  <c r="I50" i="2" s="1"/>
  <c r="G41" i="2"/>
  <c r="I41" i="2" s="1"/>
  <c r="I32" i="2"/>
  <c r="G53" i="2"/>
  <c r="I53" i="2" s="1"/>
  <c r="G52" i="2"/>
  <c r="I52" i="2" s="1"/>
  <c r="G39" i="2"/>
  <c r="I39" i="2" s="1"/>
  <c r="G62" i="2"/>
  <c r="I62" i="2" s="1"/>
  <c r="G36" i="2"/>
  <c r="I36" i="2" s="1"/>
  <c r="G57" i="2"/>
  <c r="I57" i="2" s="1"/>
  <c r="G47" i="2"/>
  <c r="I47" i="2" s="1"/>
  <c r="G60" i="2"/>
  <c r="I60" i="2" s="1"/>
  <c r="G55" i="2"/>
  <c r="I55" i="2" s="1"/>
  <c r="G45" i="2"/>
  <c r="I45" i="2" s="1"/>
  <c r="G33" i="2"/>
  <c r="I33" i="2" s="1"/>
  <c r="G44" i="2"/>
  <c r="I44" i="2" s="1"/>
  <c r="G38" i="2"/>
  <c r="I38" i="2" s="1"/>
  <c r="G40" i="2"/>
  <c r="I40" i="2" s="1"/>
  <c r="G34" i="2"/>
  <c r="I34" i="2" s="1"/>
  <c r="G61" i="2"/>
  <c r="I61" i="2" s="1"/>
  <c r="G63" i="2"/>
  <c r="I63" i="2" s="1"/>
  <c r="G49" i="2"/>
  <c r="I49" i="2" s="1"/>
  <c r="G58" i="2"/>
  <c r="I58" i="2" s="1"/>
  <c r="G43" i="2"/>
  <c r="I43" i="2" s="1"/>
  <c r="G54" i="2"/>
  <c r="I54" i="2" s="1"/>
  <c r="G56" i="2"/>
  <c r="I56" i="2" s="1"/>
  <c r="G51" i="2"/>
  <c r="I51" i="2" s="1"/>
  <c r="G46" i="2"/>
  <c r="I46" i="2" s="1"/>
  <c r="G48" i="2"/>
  <c r="I48" i="2" s="1"/>
  <c r="G35" i="2"/>
  <c r="I35" i="2" s="1"/>
  <c r="G59" i="2"/>
  <c r="I59" i="2" s="1"/>
  <c r="AT18" i="1" l="1"/>
  <c r="AT19" i="1"/>
  <c r="AT17" i="1"/>
  <c r="AT30" i="1" l="1"/>
  <c r="AT39" i="1" l="1"/>
  <c r="AT41" i="1" s="1"/>
  <c r="AT42" i="1"/>
  <c r="AT45" i="1" l="1"/>
</calcChain>
</file>

<file path=xl/sharedStrings.xml><?xml version="1.0" encoding="utf-8"?>
<sst xmlns="http://schemas.openxmlformats.org/spreadsheetml/2006/main" count="776" uniqueCount="257">
  <si>
    <t>Flight Data</t>
  </si>
  <si>
    <t>Date:</t>
  </si>
  <si>
    <r>
      <t> </t>
    </r>
    <r>
      <rPr>
        <sz val="10"/>
        <color theme="1"/>
        <rFont val="Times New Roman"/>
        <family val="1"/>
      </rPr>
      <t xml:space="preserve">Flight No.: </t>
    </r>
  </si>
  <si>
    <t> From:</t>
  </si>
  <si>
    <t>To:</t>
  </si>
  <si>
    <t>Aircraft:</t>
  </si>
  <si>
    <t>CMD:</t>
  </si>
  <si>
    <t>Crew:</t>
  </si>
  <si>
    <t>Pantry Code:</t>
  </si>
  <si>
    <t>DOM</t>
  </si>
  <si>
    <t>kg</t>
  </si>
  <si>
    <t>DOI</t>
  </si>
  <si>
    <t>Passengers</t>
  </si>
  <si>
    <t>No.</t>
  </si>
  <si>
    <t>Actual Mass</t>
  </si>
  <si>
    <t xml:space="preserve"> Cabin Section</t>
  </si>
  <si>
    <t>Index</t>
  </si>
  <si>
    <t>Adults</t>
  </si>
  <si>
    <t>A</t>
  </si>
  <si>
    <t>Children</t>
  </si>
  <si>
    <t>B</t>
  </si>
  <si>
    <t>Infants</t>
  </si>
  <si>
    <t>N/A</t>
  </si>
  <si>
    <t>C</t>
  </si>
  <si>
    <t>Total</t>
  </si>
  <si>
    <t>Deadload</t>
  </si>
  <si>
    <t>Hold 3</t>
  </si>
  <si>
    <t>Hold 4</t>
  </si>
  <si>
    <t>MZFM</t>
  </si>
  <si>
    <t>ZFM</t>
  </si>
  <si>
    <t>LIZFM</t>
  </si>
  <si>
    <t>Δ</t>
  </si>
  <si>
    <r>
      <t> </t>
    </r>
    <r>
      <rPr>
        <b/>
        <sz val="10"/>
        <color theme="1"/>
        <rFont val="Times New Roman"/>
        <family val="1"/>
      </rPr>
      <t>T/O Fuel</t>
    </r>
  </si>
  <si>
    <t>Wing Tanks</t>
  </si>
  <si>
    <t>Centre Tank</t>
  </si>
  <si>
    <t>M-/RTOM</t>
  </si>
  <si>
    <t>TOM</t>
  </si>
  <si>
    <t>LITOM</t>
  </si>
  <si>
    <t>MAC TOM</t>
  </si>
  <si>
    <t>Trip fuel</t>
  </si>
  <si>
    <t>MLM</t>
  </si>
  <si>
    <t>LM</t>
  </si>
  <si>
    <t>Last Minute Change (LMC)</t>
  </si>
  <si>
    <t> Underload before LMC:</t>
  </si>
  <si>
    <t>Limited by:</t>
  </si>
  <si>
    <t>Total LMC:</t>
  </si>
  <si>
    <t>PAX</t>
  </si>
  <si>
    <t>Mass</t>
  </si>
  <si>
    <t>Hold</t>
  </si>
  <si>
    <r>
      <t>Total</t>
    </r>
    <r>
      <rPr>
        <sz val="10"/>
        <color theme="1"/>
        <rFont val="Times New Roman"/>
        <family val="1"/>
      </rPr>
      <t xml:space="preserve"> (max 5 PAX)</t>
    </r>
  </si>
  <si>
    <t> kg</t>
  </si>
  <si>
    <r>
      <t>Total</t>
    </r>
    <r>
      <rPr>
        <sz val="10"/>
        <color theme="1"/>
        <rFont val="Times New Roman"/>
        <family val="1"/>
      </rPr>
      <t xml:space="preserve"> (max 300kg)</t>
    </r>
  </si>
  <si>
    <t>Remarks</t>
  </si>
  <si>
    <t>DEST 1</t>
  </si>
  <si>
    <t>I</t>
  </si>
  <si>
    <t xml:space="preserve">H </t>
  </si>
  <si>
    <t>p</t>
  </si>
  <si>
    <t>DEST 2</t>
  </si>
  <si>
    <t>issued by:</t>
  </si>
  <si>
    <t> approved by:</t>
  </si>
  <si>
    <r>
      <t> </t>
    </r>
    <r>
      <rPr>
        <b/>
        <sz val="10"/>
        <color theme="1"/>
        <rFont val="Times New Roman"/>
        <family val="1"/>
      </rPr>
      <t>POB</t>
    </r>
  </si>
  <si>
    <t>Arm</t>
  </si>
  <si>
    <t>Fuel Weight</t>
  </si>
  <si>
    <t>±</t>
  </si>
  <si>
    <t>Seat Row</t>
  </si>
  <si>
    <t>Index Infl Scheduled</t>
  </si>
  <si>
    <t>Index Infl Charter</t>
  </si>
  <si>
    <t>Index Infl per Kg</t>
  </si>
  <si>
    <t>Cabin Section</t>
  </si>
  <si>
    <t>FWD Hold</t>
  </si>
  <si>
    <t>AFT Hold</t>
  </si>
  <si>
    <t>S</t>
  </si>
  <si>
    <t>Weights:</t>
  </si>
  <si>
    <t>Hold 1/FWD</t>
  </si>
  <si>
    <t>Hold 2/AFT</t>
  </si>
  <si>
    <t>Scheduled</t>
  </si>
  <si>
    <t>Charter</t>
  </si>
  <si>
    <t>FWD</t>
  </si>
  <si>
    <t>AFT</t>
  </si>
  <si>
    <t>FWD (kg)</t>
  </si>
  <si>
    <t>AFT (kg)</t>
  </si>
  <si>
    <t>Kg</t>
  </si>
  <si>
    <t>l</t>
  </si>
  <si>
    <t>Weight</t>
  </si>
  <si>
    <t>%MAC</t>
  </si>
  <si>
    <t>Mac%</t>
  </si>
  <si>
    <t>MAC</t>
  </si>
  <si>
    <t>Main</t>
  </si>
  <si>
    <t>Inflight</t>
  </si>
  <si>
    <t>Not for  T/O 2</t>
  </si>
  <si>
    <t>Not for  T/O 1</t>
  </si>
  <si>
    <t>Tailtipping Limit 56%</t>
  </si>
  <si>
    <t>LI</t>
  </si>
  <si>
    <t>F: Alt. charter.</t>
  </si>
  <si>
    <t>M: Alt. charter fl.</t>
  </si>
  <si>
    <t>A: St. charter. fl</t>
  </si>
  <si>
    <t>F: Alt scheduled</t>
  </si>
  <si>
    <t>M: Alt. scheduled</t>
  </si>
  <si>
    <t>A: St. scheduled</t>
  </si>
  <si>
    <t>Total Traffic Load</t>
  </si>
  <si>
    <t>Average Pax weight for CG calculation:</t>
  </si>
  <si>
    <t>ACARS LS Avg. PAX weight</t>
  </si>
  <si>
    <t>LS ZFW</t>
  </si>
  <si>
    <t>% female pax</t>
  </si>
  <si>
    <t>Index Influence</t>
  </si>
  <si>
    <t>D</t>
  </si>
  <si>
    <t>F</t>
  </si>
  <si>
    <t>charter</t>
  </si>
  <si>
    <t>scheduled</t>
  </si>
  <si>
    <t>Type of flight</t>
  </si>
  <si>
    <t>Adult</t>
  </si>
  <si>
    <t>Male</t>
  </si>
  <si>
    <t>Female</t>
  </si>
  <si>
    <t>Infant</t>
  </si>
  <si>
    <t>Section A</t>
  </si>
  <si>
    <t>Section B</t>
  </si>
  <si>
    <t>Section C</t>
  </si>
  <si>
    <t>No</t>
  </si>
  <si>
    <t>Registrations</t>
  </si>
  <si>
    <t>E</t>
  </si>
  <si>
    <t>L</t>
  </si>
  <si>
    <t>Pantry Code</t>
  </si>
  <si>
    <t>Cockpit RH</t>
  </si>
  <si>
    <t>Cockpit LH</t>
  </si>
  <si>
    <t>1L</t>
  </si>
  <si>
    <t>1R</t>
  </si>
  <si>
    <t>2L</t>
  </si>
  <si>
    <t>2R</t>
  </si>
  <si>
    <t>Cockpit OBS</t>
  </si>
  <si>
    <t>Pax Seat</t>
  </si>
  <si>
    <t>Coulumn</t>
  </si>
  <si>
    <t>Default</t>
  </si>
  <si>
    <t>Custom</t>
  </si>
  <si>
    <t>index influence</t>
  </si>
  <si>
    <t>mass influence [kg]</t>
  </si>
  <si>
    <t>male</t>
  </si>
  <si>
    <t>infant</t>
  </si>
  <si>
    <t>Mass [kg]</t>
  </si>
  <si>
    <t>Mass[kg]</t>
  </si>
  <si>
    <t>-</t>
  </si>
  <si>
    <t>Average mass used for index calculation</t>
  </si>
  <si>
    <t>f</t>
  </si>
  <si>
    <t>m</t>
  </si>
  <si>
    <t>PAX letters</t>
  </si>
  <si>
    <t>a</t>
  </si>
  <si>
    <t>c</t>
  </si>
  <si>
    <t>o</t>
  </si>
  <si>
    <t>Seatrow Index Influence</t>
  </si>
  <si>
    <t>Pax Wheights</t>
  </si>
  <si>
    <t>female</t>
  </si>
  <si>
    <t>child</t>
  </si>
  <si>
    <t>Total Mass</t>
  </si>
  <si>
    <t>2/3</t>
  </si>
  <si>
    <t>Takeoff</t>
  </si>
  <si>
    <t>Takeoff FWD</t>
  </si>
  <si>
    <t>Takeoff AFT</t>
  </si>
  <si>
    <t>Inflight FWD</t>
  </si>
  <si>
    <t>Inflight AFT</t>
  </si>
  <si>
    <t>Landing</t>
  </si>
  <si>
    <t>Landing FWD</t>
  </si>
  <si>
    <t>Landing Aft</t>
  </si>
  <si>
    <t>Zero fuel operation envelope FWD</t>
  </si>
  <si>
    <t>Zero fuel operation envelope AFT</t>
  </si>
  <si>
    <t>Alternate CG 1  FWD</t>
  </si>
  <si>
    <t>Alternate CG 1  AFT</t>
  </si>
  <si>
    <t>Alternate CG 2  FWD</t>
  </si>
  <si>
    <t>Alternate CG 2  AFT</t>
  </si>
  <si>
    <t>Loadsheet</t>
  </si>
  <si>
    <t>Zero Fuel</t>
  </si>
  <si>
    <t>Toggle Envelopes</t>
  </si>
  <si>
    <t>Key Values</t>
  </si>
  <si>
    <t>PAX WEIGHTS USED M83 F69 C35 I0</t>
  </si>
  <si>
    <t>Timestamp</t>
  </si>
  <si>
    <t>Patrick Kasiala</t>
  </si>
  <si>
    <t>2L132/04FEB22_ZRH_CDG_HB-AZA</t>
  </si>
  <si>
    <t>PAX WEIGHTS USED A76 C35 I0</t>
  </si>
  <si>
    <t>CABIN SECTION TRIM</t>
  </si>
  <si>
    <t>User</t>
  </si>
  <si>
    <t>Flight ID</t>
  </si>
  <si>
    <t>Version</t>
  </si>
  <si>
    <t>Crew</t>
  </si>
  <si>
    <t>Pantry</t>
  </si>
  <si>
    <t>Adult NO</t>
  </si>
  <si>
    <t>Adult Mass</t>
  </si>
  <si>
    <t>Male No</t>
  </si>
  <si>
    <t>Male Mass</t>
  </si>
  <si>
    <t>Female No</t>
  </si>
  <si>
    <t>Female Mass</t>
  </si>
  <si>
    <t>Children No</t>
  </si>
  <si>
    <t>Children Mass</t>
  </si>
  <si>
    <t>Infant No</t>
  </si>
  <si>
    <t>Infant Mass</t>
  </si>
  <si>
    <t>Total PAX</t>
  </si>
  <si>
    <t>Total PAX Mass</t>
  </si>
  <si>
    <t>Total PAX Index</t>
  </si>
  <si>
    <t>Trim</t>
  </si>
  <si>
    <t xml:space="preserve">Pax WEIGHTS USED </t>
  </si>
  <si>
    <t>FWD Hold Index</t>
  </si>
  <si>
    <t>FWD Hold Mass</t>
  </si>
  <si>
    <t>AFT Hold Mass</t>
  </si>
  <si>
    <t>AFT hold index</t>
  </si>
  <si>
    <t>Total Deadload mass</t>
  </si>
  <si>
    <t>Total Traffic load</t>
  </si>
  <si>
    <t>ZFM Underload</t>
  </si>
  <si>
    <t>Wing tank mass</t>
  </si>
  <si>
    <t>Wing tank index</t>
  </si>
  <si>
    <t>Center tank mass</t>
  </si>
  <si>
    <t>Center Tank index</t>
  </si>
  <si>
    <t>Total Fuel mass</t>
  </si>
  <si>
    <t>MTOM</t>
  </si>
  <si>
    <t>MTOM Underload</t>
  </si>
  <si>
    <t>Trip fuel mass</t>
  </si>
  <si>
    <t>Trip fuel index</t>
  </si>
  <si>
    <t>LM Underload</t>
  </si>
  <si>
    <t>Underload</t>
  </si>
  <si>
    <t>Section Trim_x000D_
tblSectionTrim.btMaleFemale.Value: Falsch_x000D_
Type of Flight: charter_x000D_
Adult: 2   152_x000D_
Male: 0   0_x000D_
Female: 0   0_x000D_
Female: 0   0_x000D_
Infant: 0   0_x000D_
Total: 2   152_x000D_
Average mass used for index calculation: 76_x000D_
Section A: 2   152   -1.44704_x000D_
Section B: 0   0   0_x000D_
Section C: 0   0   0_x000D_
0: -   -1.447</t>
  </si>
  <si>
    <t>PAX Details</t>
  </si>
  <si>
    <t>SEAT ROW TRIM</t>
  </si>
  <si>
    <t xml:space="preserve">Seat row Trim_x000D_
Type of Flight: charter_x000D_
Male: 1   83_x000D_
Female: 1   69_x000D_
Children: 0   0_x000D_
Infants: 0   0_x000D_
Total Mass:    152_x000D_
Index:    -2.145_x000D_
Pax Seatings_x000D_
1A o 1C o 1D o 1F o _x000D_
2A m 2C f 2D o 2F o _x000D_
3A o 3C o 3D o 3F o _x000D_
4A o 4C o 4D o 4F o _x000D_
5A o 5C o 5D o 5F o _x000D_
6A o 6C o 6D o 6F o _x000D_
7A o 7C o 7D o 7F o _x000D_
8A o 8C o 8D o 8F o _x000D_
9A o 9C o 9D o 9F o _x000D_
10A o 10C o 10D o 10F o _x000D_
11A o 11C o 11D o 11F o _x000D_
12A o 12C o 12D o 12F o _x000D_
14A o 14C o 14D o 14F o _x000D_
15A o 15C o 15D o 15F o _x000D_
16A o 16C o 16D o 16F o _x000D_
17A o 17C o 17D o 17F o _x000D_
18A o 18C o 18D o 18F o _x000D_
19A o 19C o 19D o 19F o _x000D_
20A o 20C o 20D o 20F o _x000D_
21A o 21C o 21D o 21F o _x000D_
22A o 22C o 22D o 22F o _x000D_
23A o 23C o 23D o 23F o _x000D_
24A o 24C o 24D o 24F o _x000D_
25A o 25C o 25D o 25F o _x000D_
26A o 26C o 26D o 26F o _x000D_
27A o 27C o 27D o 27F o _x000D_
28A o 28C o 28D o 28F o _x000D_
29A o 29C o 29D o 29F o _x000D_
A o C o D o F o _x000D_
</t>
  </si>
  <si>
    <t>2L8828/04FEB22_ZRH_TLV_HB-AZE</t>
  </si>
  <si>
    <t>All Tanks</t>
  </si>
  <si>
    <t>2L8828/017FEB22_ZRH_TLV_HB-AZE</t>
  </si>
  <si>
    <t>TST</t>
  </si>
  <si>
    <t>Section Trim_x000D_
tblSectionTrim.btMaleFemale.Value: Falsch_x000D_
Type of Flight: charter_x000D_
Adult: 101   7676_x000D_
Male: 0   0_x000D_
Female: 0   0_x000D_
Female: 0   0_x000D_
Infant: 0   0_x000D_
Total: 101   7676_x000D_
Average mass used for index calculation: 76_x000D_
Section A: 35   2660   -25.3232_x000D_
Section B: 32   2432   5.03424_x000D_
Section C: 34   2584   32.99768_x000D_
0: -   12.709</t>
  </si>
  <si>
    <t>2L7653/017FEB22_KTT_ZRH_HB-AZA</t>
  </si>
  <si>
    <t>Section Trim_x000D_
tblSectionTrim.btMaleFemale.Value: Falsch_x000D_
Type of Flight: charter_x000D_
Adult: 0   0_x000D_
Male: 0   0_x000D_
Female: 0   0_x000D_
Female: 0   0_x000D_
Infant: 0   0_x000D_
Total: 0   0_x000D_
Average mass used for index calculation: 0_x000D_
Section A: 0   0   0_x000D_
Section B: 0   0   0_x000D_
Section C: 0   0   0_x000D_
0: -   0</t>
  </si>
  <si>
    <t xml:space="preserve">Seat row Trim_x000D_
Type of Flight: charter_x000D_
Male: 7   581_x000D_
Female: 3   207_x000D_
Children: 0   0_x000D_
Infants: 0   0_x000D_
Total Mass:    788_x000D_
Index:    -10.969_x000D_
Pax Seatings_x000D_
1A m 1C m 1D o 1F o _x000D_
2A m 2C m 2D m 2F m _x000D_
3A m 3C f 3D f 3F f _x000D_
4A o 4C o 4D o 4F o _x000D_
5A o 5C o 5D o 5F o _x000D_
6A o 6C o 6D o 6F o _x000D_
7A o 7C o 7D o 7F o _x000D_
8A o 8C o 8D o 8F o _x000D_
9A o 9C o 9D o 9F o _x000D_
10A o 10C o 10D o 10F o _x000D_
11A o 11C o 11D o 11F o _x000D_
12A o 12C o 12D o 12F o _x000D_
14A o 14C o 14D o 14F o _x000D_
15A o 15C o 15D o 15F o _x000D_
16A o 16C o 16D o 16F o _x000D_
17A o 17C o 17D o 17F o _x000D_
18A o 18C o 18D o 18F o _x000D_
19A o 19C o 19D o 19F o _x000D_
20A o 20C o 20D o 20F o _x000D_
21A o 21C o 21D o 21F o _x000D_
22A o 22C o 22D o 22F o _x000D_
23A o 23C o 23D o 23F o _x000D_
24A o 24C o 24D o 24F o _x000D_
25A o 25C o 25D o 25F o _x000D_
26A o 26C o 26D o 26F o _x000D_
27A o 27C o 27D o 27F o _x000D_
28A o 28C o 28D o 28F o _x000D_
29A o 29C o 29D o 29F o _x000D_
A o C o D o F o _x000D_
</t>
  </si>
  <si>
    <t>Eberle Samuel</t>
  </si>
  <si>
    <t>2L7653/020FEB22_KTT_ZRH_HB-AZE</t>
  </si>
  <si>
    <t xml:space="preserve">Seat row Trim_x000D_
Type of Flight: charter_x000D_
Adults: 8   608_x000D_
Children: 0   0_x000D_
:    _x000D_
Infants: 0   0_x000D_
Total Mass:    608_x000D_
Index:    10.292_x000D_
Pax Seatings_x000D_
1A o 1C o 1D o 1F o _x000D_
2A o 2C o 2D o 2F o _x000D_
3A o 3C o 3D o 3F o _x000D_
4A o 4C o 4D o 4F o _x000D_
5A o 5C o 5D o 5F o _x000D_
6A o 6C o 6D o 6F o _x000D_
7A o 7C o 7D o 7F o _x000D_
8A o 8C o 8D o 8F o _x000D_
9A o 9C o 9D o 9F o _x000D_
10A o 10C o 10D o 10F o _x000D_
11A o 11C o 11D o 11F o _x000D_
12A o 12C o 12D o 12F o _x000D_
14A o 14C o 14D o 14F o _x000D_
15A o 15C o 15D o 15F o _x000D_
16A o 16C o 16D o 16F o _x000D_
17A o 17C o 17D o 17F o _x000D_
18A o 18C o 18D o 18F o _x000D_
19A o 19C o 19D o 19F o _x000D_
20A o 20C o 20D o 20F o _x000D_
21A o 21C o 21D o 21F o _x000D_
22A o 22C o 22D o 22F o _x000D_
23A o 23C o 23D o 23F o _x000D_
24A o 24C o 24D o 24F o _x000D_
25A o 25C o 25D o 25F o _x000D_
26A o 26C o 26D o 26F o _x000D_
27A o 27C o 27D o 27F o _x000D_
28A m 28C m 28D m 28F m _x000D_
29A m 29C m 29D m 29F m _x000D_
A o C o D o F o _x000D_
</t>
  </si>
  <si>
    <t xml:space="preserve">Seat row Trim_x000D_
Type of Flight: charter_x000D_
Adults: 2   152_x000D_
Children: 0   0_x000D_
:    _x000D_
Infants: 0   0_x000D_
Total Mass:    152_x000D_
Index:    2.662_x000D_
Pax Seatings_x000D_
1A o 1C o 1D o 1F o _x000D_
2A o 2C o 2D o 2F o _x000D_
3A o 3C o 3D o 3F o _x000D_
4A o 4C o 4D o 4F o _x000D_
5A o 5C o 5D o 5F o _x000D_
6A o 6C o 6D o 6F o _x000D_
7A o 7C o 7D o 7F o _x000D_
8A o 8C o 8D o 8F o _x000D_
9A o 9C o 9D o 9F o _x000D_
10A o 10C o 10D o 10F o _x000D_
11A o 11C o 11D o 11F o _x000D_
12A o 12C o 12D o 12F o _x000D_
14A o 14C o 14D o 14F o _x000D_
15A o 15C o 15D o 15F o _x000D_
16A o 16C o 16D o 16F o _x000D_
17A o 17C o 17D o 17F o _x000D_
18A o 18C o 18D o 18F o _x000D_
19A o 19C o 19D o 19F o _x000D_
20A o 20C o 20D o 20F o _x000D_
21A o 21C o 21D o 21F o _x000D_
22A o 22C o 22D o 22F o _x000D_
23A o 23C o 23D o 23F o _x000D_
24A o 24C o 24D o 24F o _x000D_
25A o 25C o 25D o 25F o _x000D_
26A o 26C o 26D o 26F o _x000D_
27A o 27C o 27D o 27F o _x000D_
28A o 28C o 28D o 28F o _x000D_
29A m 29C m 29D o 29F o _x000D_
A o C o D o F o _x000D_
</t>
  </si>
  <si>
    <t>Section Trim_x000D_
tblSectionTrim.btMaleFemale.Value: Falsch_x000D_
Type of Flight: charter_x000D_
Adult: 4   304_x000D_
Male: 0   0_x000D_
Female: 0   0_x000D_
Female: 0   0_x000D_
Infant: 0   0_x000D_
Total: 4   304_x000D_
Average mass used for index calculation: 76_x000D_
Section A: 0   0   0_x000D_
Section B: 0   0   0_x000D_
Section C: 4   304   3.88208_x000D_
0: -   3.882</t>
  </si>
  <si>
    <t>Section Trim_x000D_
tblSectionTrim.btMaleFemale.Value: Falsch_x000D_
Type of Flight: charter_x000D_
Adult: 4   304_x000D_
Male: 0   0_x000D_
Female: 0   0_x000D_
Female: 0   0_x000D_
Infant: 0   0_x000D_
Total: 4   304_x000D_
Average mass used for index calculation: 76_x000D_
Section A: 4   304   -2.89408_x000D_
Section B: 0   0   0_x000D_
Section C: 0   0   0_x000D_
0: -   -2.894</t>
  </si>
  <si>
    <t>KJFK</t>
  </si>
  <si>
    <t>OK</t>
  </si>
  <si>
    <t>Ferry ZFW FWD</t>
  </si>
  <si>
    <t>Ferry ZFW AFT</t>
  </si>
  <si>
    <t>A7 B3 C0</t>
  </si>
  <si>
    <t>1/</t>
  </si>
  <si>
    <t xml:space="preserve">Seat row Trim_x000D_
Type of Flight: charter_x000D_
PAX Category    Nr.   Mass[kg]_x000D_
Male: 6   498_x000D_
Female: 3   207_x000D_
Children: 1   35_x000D_
Infants: 0   0_x000D_
Total Mass:    740_x000D_
Index:    -5.149_x000D_
Pax Seatings_x000D_
1A o 1C o 1D o 1F o _x000D_
2A o 2C o 2D o 2F o _x000D_
3A o 3C o 3D o 3F o _x000D_
4A o 4C o 4D o 4F o _x000D_
5A o 5C m 5D m 5F m _x000D_
6A o 6C o 6D o 6F o _x000D_
7A o 7C o 7D o 7F o _x000D_
8A m 8C f 8D m 8F f _x000D_
9A o 9C o 9D o 9F o _x000D_
10A o 10C o 10D o 10F o _x000D_
11A m 11C f 11D c 11F o _x000D_
12A o 12C o 12D o 12F o _x000D_
14A o 14C o 14D o 14F o _x000D_
15A o 15C o 15D o 15F o _x000D_
16A o 16C o 16D o 16F o _x000D_
17A o 17C o 17D o 17F o _x000D_
18A o 18C o 18D o 18F o _x000D_
19A o 19C o 19D o 19F o _x000D_
20A o 20C o 20D o 20F o _x000D_
21A o 21C o 21D o 21F o _x000D_
22A o 22C o 22D o 22F o _x000D_
23A o 23C o 23D o 23F o _x000D_
24A o 24C o 24D o 24F o _x000D_
25A o 25C o 25D o 25F o _x000D_
26A o 26C o 26D o 26F o _x000D_
27A o 27C o 27D o 27F o _x000D_
28A o 28C o 28D o 28F o _x000D_
29A o 29C o 29D o 29F o _x000D_
A o C o D o F o _x000D_
</t>
  </si>
  <si>
    <t>This values have to be adjusted for your specific aircraft type. They can be found in the AOM or AHM 560</t>
  </si>
  <si>
    <t>NC-BOK</t>
  </si>
  <si>
    <t>WG-EQJ</t>
  </si>
  <si>
    <t>FN-WRZ</t>
  </si>
  <si>
    <t>ZG-LEQ</t>
  </si>
  <si>
    <t>US-IQF</t>
  </si>
  <si>
    <t>CF-CNS</t>
  </si>
  <si>
    <t>JS-LWS</t>
  </si>
  <si>
    <t>QQ-FBT</t>
  </si>
  <si>
    <t>2L123/29SEP23_LSZH_KJFK_NC-BOK</t>
  </si>
  <si>
    <t>HJ123</t>
  </si>
  <si>
    <t>KLAX</t>
  </si>
  <si>
    <t>40.86 I-X-------------------I 66.64</t>
  </si>
  <si>
    <t>33.22 I--X------------------I 78.45</t>
  </si>
  <si>
    <t>33.28 I---X-----------------I 77.3</t>
  </si>
  <si>
    <t>HJ123/29SEP23_KLAX_KJFK_NC-BOK</t>
  </si>
  <si>
    <t>LOADSHEET_x000D_
NOT APPROVED FOR OPERATION - TEST VERSION ONLY_x000D_
VERSION 01_x000D_
1236_x000D_
HJ123/29SEP23_x000D_
KLAX KJFK NC-BOK 2/3_x000D_
DOM 34178_x000D_
PAYLOAD  1040_x000D_
ZFW 35218 MAX 46700  _x000D_
TOF 6300_x000D_
TOW 41518 MAX 54000  _x000D_
TIF 2985_x000D_
LAW 38533 MAX 49050  L_x000D_
UNDLD 10517_x000D_
_x000D_
PAX 1/   TTL10_x000D_
PAX WEIGHTS USED M83 F69 C35 I0_x000D_
SEAT ROW TRIM_x000D_
PAX PER SECTION A7 B3 C0_x000D_
DOI         46.53_x000D_
DLI         2.31_x000D_
LIZFW       42.44_x000D_
LITOW       38.7_x000D_
MACZFW      23.17_x000D_
MACTOW      22.27_x000D_
_x000D_
_x000D_
NOTOC      NO_x000D_
LOAD IN CPTS 1/100 2/200_x000D_
FWD AND AFT INDEX LIMITS_x000D_
ZF: 40.86 I-X-------------------I 66.64_x000D_
TO: 33.22 I--X------------------I 78.45_x000D_
LA: 33.28 I---X-----------------I 77.3_x000D_
_x000D_
_x000D_
CMD SIGNATURE: __________________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</si>
</sst>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66" formatCode="0.00000"/>
    <numFmt numFmtId="167" formatCode="0.0000"/>
    <numFmt numFmtId="168" formatCode="[$-F800]dddd\,\ mmmm\ dd\,\ yyyy"/>
  </numFmts>
  <fonts count="30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Symbol"/>
      <family val="1"/>
      <charset val="2"/>
    </font>
    <font>
      <sz val="8"/>
      <color theme="1"/>
      <name val="Times New Roman"/>
      <family val="1"/>
    </font>
    <font>
      <b/>
      <sz val="8"/>
      <color theme="1"/>
      <name val="Times New Roman"/>
      <family val="1"/>
    </font>
    <font>
      <sz val="5"/>
      <color theme="1"/>
      <name val="Times New Roman"/>
      <family val="1"/>
    </font>
    <font>
      <b/>
      <sz val="10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  <font>
      <sz val="9"/>
      <color theme="1"/>
      <name val="Calibri"/>
      <family val="2"/>
      <scheme val="minor"/>
    </font>
    <font>
      <sz val="11"/>
      <color rgb="FF000000"/>
      <name val="Calibri"/>
      <family val="2"/>
    </font>
    <font>
      <sz val="28"/>
      <color theme="1"/>
      <name val="Consolas"/>
      <family val="3"/>
    </font>
    <font>
      <sz val="10"/>
      <color theme="0"/>
      <name val="Times New Roman"/>
      <family val="1"/>
    </font>
    <font>
      <sz val="11"/>
      <color theme="1"/>
      <name val="Courier New"/>
      <family val="3"/>
    </font>
    <font>
      <sz val="10"/>
      <color theme="1"/>
      <name val="Courier New"/>
      <family val="3"/>
    </font>
    <font>
      <b/>
      <sz val="11"/>
      <color theme="1"/>
      <name val="Courier New"/>
      <family val="3"/>
    </font>
    <font>
      <sz val="10"/>
      <color rgb="FF0070C0"/>
      <name val="Times New Roman"/>
      <family val="1"/>
    </font>
    <font>
      <b/>
      <sz val="10"/>
      <color rgb="FF0070C0"/>
      <name val="Times New Roman"/>
      <family val="1"/>
    </font>
    <font>
      <b/>
      <sz val="11"/>
      <color rgb="FF0000FF"/>
      <name val="Calibri"/>
      <family val="2"/>
    </font>
    <font>
      <sz val="8"/>
      <color theme="0"/>
      <name val="Times New Roman"/>
      <family val="1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color theme="1"/>
      <name val="Arial Unicode MS"/>
    </font>
  </fonts>
  <fills count="10">
    <fill>
      <patternFill patternType="none"/>
    </fill>
    <fill>
      <patternFill patternType="gray125"/>
    </fill>
    <fill>
      <patternFill patternType="solid">
        <fgColor rgb="FFE6E6E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50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indexed="64"/>
      </bottom>
      <diagonal/>
    </border>
    <border>
      <left/>
      <right/>
      <top style="thick">
        <color auto="1"/>
      </top>
      <bottom style="thin">
        <color indexed="64"/>
      </bottom>
      <diagonal/>
    </border>
    <border>
      <left/>
      <right style="thick">
        <color auto="1"/>
      </right>
      <top style="thick">
        <color auto="1"/>
      </top>
      <bottom style="thin">
        <color indexed="64"/>
      </bottom>
      <diagonal/>
    </border>
    <border>
      <left style="thin">
        <color auto="1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ck">
        <color auto="1"/>
      </right>
      <top style="thin">
        <color indexed="64"/>
      </top>
      <bottom style="thin">
        <color theme="0" tint="-0.34998626667073579"/>
      </bottom>
      <diagonal/>
    </border>
    <border>
      <left style="thin">
        <color auto="1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ck">
        <color auto="1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auto="1"/>
      </left>
      <right style="thin">
        <color theme="0" tint="-0.34998626667073579"/>
      </right>
      <top style="thin">
        <color theme="0" tint="-0.34998626667073579"/>
      </top>
      <bottom style="thick">
        <color auto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ck">
        <color auto="1"/>
      </bottom>
      <diagonal/>
    </border>
    <border>
      <left style="thin">
        <color theme="0" tint="-0.34998626667073579"/>
      </left>
      <right style="thick">
        <color auto="1"/>
      </right>
      <top style="thin">
        <color theme="0" tint="-0.34998626667073579"/>
      </top>
      <bottom style="thick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337">
    <xf numFmtId="0" fontId="0" fillId="0" borderId="0" xfId="0"/>
    <xf numFmtId="0" fontId="2" fillId="0" borderId="8" xfId="0" applyFont="1" applyBorder="1" applyAlignment="1">
      <alignment horizontal="right" vertical="center"/>
    </xf>
    <xf numFmtId="0" fontId="1" fillId="0" borderId="11" xfId="0" applyFont="1" applyBorder="1" applyAlignment="1">
      <alignment horizontal="center" vertical="center"/>
    </xf>
    <xf numFmtId="0" fontId="1" fillId="0" borderId="11" xfId="0" applyFont="1" applyBorder="1" applyAlignment="1">
      <alignment horizontal="right" vertical="center"/>
    </xf>
    <xf numFmtId="0" fontId="2" fillId="2" borderId="6" xfId="0" applyFont="1" applyFill="1" applyBorder="1" applyAlignment="1">
      <alignment vertical="center"/>
    </xf>
    <xf numFmtId="0" fontId="2" fillId="2" borderId="8" xfId="0" applyFont="1" applyFill="1" applyBorder="1" applyAlignment="1">
      <alignment vertical="center"/>
    </xf>
    <xf numFmtId="2" fontId="0" fillId="0" borderId="0" xfId="0" applyNumberFormat="1"/>
    <xf numFmtId="0" fontId="7" fillId="0" borderId="13" xfId="0" applyFont="1" applyBorder="1" applyAlignment="1">
      <alignment horizontal="center"/>
    </xf>
    <xf numFmtId="0" fontId="0" fillId="0" borderId="13" xfId="0" applyBorder="1"/>
    <xf numFmtId="0" fontId="9" fillId="0" borderId="14" xfId="0" applyFont="1" applyBorder="1"/>
    <xf numFmtId="0" fontId="7" fillId="0" borderId="14" xfId="0" applyFont="1" applyBorder="1" applyAlignment="1">
      <alignment horizontal="center" vertical="center" wrapText="1"/>
    </xf>
    <xf numFmtId="164" fontId="0" fillId="0" borderId="13" xfId="0" applyNumberFormat="1" applyBorder="1"/>
    <xf numFmtId="0" fontId="7" fillId="0" borderId="16" xfId="0" applyFont="1" applyBorder="1" applyAlignment="1">
      <alignment horizontal="center"/>
    </xf>
    <xf numFmtId="164" fontId="10" fillId="0" borderId="16" xfId="0" applyNumberFormat="1" applyFont="1" applyBorder="1" applyAlignment="1">
      <alignment horizontal="right"/>
    </xf>
    <xf numFmtId="164" fontId="7" fillId="0" borderId="16" xfId="0" applyNumberFormat="1" applyFont="1" applyBorder="1" applyAlignment="1">
      <alignment horizontal="center" vertical="center"/>
    </xf>
    <xf numFmtId="0" fontId="7" fillId="0" borderId="14" xfId="0" applyFont="1" applyBorder="1" applyAlignment="1">
      <alignment horizontal="center"/>
    </xf>
    <xf numFmtId="164" fontId="0" fillId="0" borderId="14" xfId="0" applyNumberFormat="1" applyBorder="1"/>
    <xf numFmtId="0" fontId="0" fillId="0" borderId="14" xfId="0" applyBorder="1"/>
    <xf numFmtId="164" fontId="0" fillId="0" borderId="16" xfId="0" applyNumberFormat="1" applyBorder="1"/>
    <xf numFmtId="0" fontId="0" fillId="0" borderId="16" xfId="0" applyBorder="1"/>
    <xf numFmtId="0" fontId="8" fillId="0" borderId="13" xfId="0" applyFont="1" applyBorder="1" applyAlignment="1">
      <alignment horizontal="center" vertical="center" wrapText="1"/>
    </xf>
    <xf numFmtId="165" fontId="0" fillId="0" borderId="0" xfId="0" applyNumberFormat="1"/>
    <xf numFmtId="1" fontId="0" fillId="0" borderId="0" xfId="0" applyNumberFormat="1"/>
    <xf numFmtId="0" fontId="9" fillId="0" borderId="0" xfId="0" applyFont="1"/>
    <xf numFmtId="2" fontId="9" fillId="0" borderId="0" xfId="0" applyNumberFormat="1" applyFont="1"/>
    <xf numFmtId="1" fontId="8" fillId="0" borderId="13" xfId="0" applyNumberFormat="1" applyFont="1" applyBorder="1" applyAlignment="1">
      <alignment horizontal="center" vertical="center" wrapText="1"/>
    </xf>
    <xf numFmtId="1" fontId="3" fillId="0" borderId="13" xfId="0" applyNumberFormat="1" applyFont="1" applyBorder="1" applyAlignment="1">
      <alignment horizontal="center" vertical="center" wrapText="1"/>
    </xf>
    <xf numFmtId="1" fontId="0" fillId="0" borderId="13" xfId="0" applyNumberFormat="1" applyBorder="1"/>
    <xf numFmtId="164" fontId="0" fillId="0" borderId="0" xfId="0" applyNumberFormat="1"/>
    <xf numFmtId="167" fontId="7" fillId="0" borderId="16" xfId="0" applyNumberFormat="1" applyFont="1" applyBorder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right"/>
    </xf>
    <xf numFmtId="9" fontId="1" fillId="0" borderId="0" xfId="1" applyFont="1" applyBorder="1" applyAlignment="1">
      <alignment vertical="center"/>
    </xf>
    <xf numFmtId="165" fontId="8" fillId="0" borderId="13" xfId="0" applyNumberFormat="1" applyFont="1" applyBorder="1" applyAlignment="1">
      <alignment horizontal="center" vertical="center" wrapText="1"/>
    </xf>
    <xf numFmtId="0" fontId="7" fillId="0" borderId="28" xfId="0" applyFont="1" applyBorder="1" applyAlignment="1">
      <alignment horizontal="center" vertical="center" wrapText="1"/>
    </xf>
    <xf numFmtId="0" fontId="7" fillId="0" borderId="28" xfId="0" applyFont="1" applyBorder="1" applyAlignment="1">
      <alignment horizontal="center"/>
    </xf>
    <xf numFmtId="164" fontId="0" fillId="0" borderId="28" xfId="0" applyNumberFormat="1" applyBorder="1"/>
    <xf numFmtId="0" fontId="0" fillId="0" borderId="28" xfId="0" applyBorder="1"/>
    <xf numFmtId="0" fontId="0" fillId="0" borderId="0" xfId="0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6" borderId="37" xfId="0" applyFill="1" applyBorder="1" applyAlignment="1">
      <alignment horizontal="center" vertical="center"/>
    </xf>
    <xf numFmtId="0" fontId="0" fillId="6" borderId="38" xfId="0" applyFill="1" applyBorder="1" applyAlignment="1">
      <alignment horizontal="center" vertical="center"/>
    </xf>
    <xf numFmtId="0" fontId="0" fillId="0" borderId="4" xfId="0" applyBorder="1"/>
    <xf numFmtId="0" fontId="0" fillId="7" borderId="0" xfId="0" applyFill="1"/>
    <xf numFmtId="0" fontId="0" fillId="0" borderId="0" xfId="0" applyAlignment="1">
      <alignment horizontal="center"/>
    </xf>
    <xf numFmtId="0" fontId="8" fillId="0" borderId="8" xfId="0" applyFont="1" applyBorder="1" applyAlignment="1">
      <alignment horizontal="left" vertical="center"/>
    </xf>
    <xf numFmtId="0" fontId="8" fillId="0" borderId="4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/>
    </xf>
    <xf numFmtId="0" fontId="8" fillId="0" borderId="48" xfId="0" applyFont="1" applyBorder="1" applyAlignment="1">
      <alignment horizontal="center" vertical="center"/>
    </xf>
    <xf numFmtId="0" fontId="8" fillId="0" borderId="45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14" fillId="8" borderId="12" xfId="0" applyFont="1" applyFill="1" applyBorder="1" applyAlignment="1">
      <alignment vertical="center"/>
    </xf>
    <xf numFmtId="0" fontId="14" fillId="8" borderId="46" xfId="0" applyFont="1" applyFill="1" applyBorder="1" applyAlignment="1">
      <alignment vertical="center"/>
    </xf>
    <xf numFmtId="0" fontId="14" fillId="8" borderId="49" xfId="0" applyFont="1" applyFill="1" applyBorder="1" applyAlignment="1">
      <alignment vertical="center"/>
    </xf>
    <xf numFmtId="0" fontId="14" fillId="8" borderId="49" xfId="0" applyFont="1" applyFill="1" applyBorder="1" applyAlignment="1">
      <alignment vertical="center" wrapText="1"/>
    </xf>
    <xf numFmtId="0" fontId="14" fillId="8" borderId="46" xfId="0" applyFont="1" applyFill="1" applyBorder="1" applyAlignment="1">
      <alignment vertical="center" wrapText="1"/>
    </xf>
    <xf numFmtId="0" fontId="13" fillId="8" borderId="49" xfId="0" applyFont="1" applyFill="1" applyBorder="1" applyAlignment="1">
      <alignment vertical="center"/>
    </xf>
    <xf numFmtId="0" fontId="13" fillId="8" borderId="46" xfId="0" applyFont="1" applyFill="1" applyBorder="1" applyAlignment="1">
      <alignment vertical="center"/>
    </xf>
    <xf numFmtId="1" fontId="8" fillId="0" borderId="8" xfId="0" applyNumberFormat="1" applyFont="1" applyBorder="1" applyAlignment="1">
      <alignment horizontal="center" vertical="center"/>
    </xf>
    <xf numFmtId="0" fontId="0" fillId="7" borderId="0" xfId="0" applyFill="1" applyAlignment="1">
      <alignment horizontal="center"/>
    </xf>
    <xf numFmtId="0" fontId="9" fillId="7" borderId="0" xfId="0" applyFont="1" applyFill="1" applyAlignment="1">
      <alignment horizontal="center"/>
    </xf>
    <xf numFmtId="0" fontId="9" fillId="7" borderId="0" xfId="0" applyFont="1" applyFill="1"/>
    <xf numFmtId="164" fontId="9" fillId="7" borderId="0" xfId="0" applyNumberFormat="1" applyFont="1" applyFill="1"/>
    <xf numFmtId="0" fontId="0" fillId="0" borderId="0" xfId="0" applyAlignment="1">
      <alignment horizontal="left"/>
    </xf>
    <xf numFmtId="164" fontId="0" fillId="7" borderId="0" xfId="0" applyNumberFormat="1" applyFill="1"/>
    <xf numFmtId="0" fontId="15" fillId="7" borderId="0" xfId="0" applyFont="1" applyFill="1"/>
    <xf numFmtId="164" fontId="15" fillId="7" borderId="0" xfId="0" applyNumberFormat="1" applyFont="1" applyFill="1"/>
    <xf numFmtId="0" fontId="12" fillId="0" borderId="0" xfId="0" applyFont="1"/>
    <xf numFmtId="0" fontId="0" fillId="0" borderId="0" xfId="0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37" xfId="0" applyBorder="1" applyAlignment="1" applyProtection="1">
      <alignment horizontal="center" vertical="center"/>
      <protection locked="0"/>
    </xf>
    <xf numFmtId="0" fontId="0" fillId="0" borderId="39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0" fillId="0" borderId="42" xfId="0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 vertical="center"/>
      <protection locked="0"/>
    </xf>
    <xf numFmtId="0" fontId="0" fillId="0" borderId="41" xfId="0" applyBorder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12" fillId="0" borderId="45" xfId="0" applyFont="1" applyBorder="1" applyProtection="1">
      <protection locked="0"/>
    </xf>
    <xf numFmtId="0" fontId="0" fillId="0" borderId="50" xfId="0" applyBorder="1"/>
    <xf numFmtId="0" fontId="0" fillId="0" borderId="50" xfId="0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10" xfId="0" applyBorder="1"/>
    <xf numFmtId="0" fontId="0" fillId="0" borderId="9" xfId="0" applyBorder="1"/>
    <xf numFmtId="0" fontId="0" fillId="0" borderId="8" xfId="0" applyBorder="1"/>
    <xf numFmtId="0" fontId="9" fillId="0" borderId="4" xfId="0" applyFont="1" applyBorder="1"/>
    <xf numFmtId="0" fontId="9" fillId="9" borderId="4" xfId="0" applyFont="1" applyFill="1" applyBorder="1"/>
    <xf numFmtId="22" fontId="20" fillId="0" borderId="0" xfId="0" applyNumberFormat="1" applyFont="1"/>
    <xf numFmtId="0" fontId="20" fillId="0" borderId="0" xfId="0" applyFont="1"/>
    <xf numFmtId="49" fontId="20" fillId="0" borderId="0" xfId="0" applyNumberFormat="1" applyFont="1"/>
    <xf numFmtId="0" fontId="21" fillId="6" borderId="0" xfId="0" applyFont="1" applyFill="1"/>
    <xf numFmtId="0" fontId="21" fillId="6" borderId="0" xfId="0" quotePrefix="1" applyFont="1" applyFill="1"/>
    <xf numFmtId="0" fontId="2" fillId="0" borderId="5" xfId="0" applyFont="1" applyBorder="1" applyAlignment="1">
      <alignment horizontal="right" vertical="center"/>
    </xf>
    <xf numFmtId="0" fontId="1" fillId="0" borderId="0" xfId="0" applyFont="1" applyAlignment="1">
      <alignment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9" fontId="1" fillId="0" borderId="0" xfId="1" applyFont="1" applyBorder="1" applyAlignment="1" applyProtection="1">
      <alignment vertical="center"/>
    </xf>
    <xf numFmtId="0" fontId="20" fillId="0" borderId="0" xfId="0" applyFont="1" applyAlignment="1">
      <alignment wrapText="1"/>
    </xf>
    <xf numFmtId="0" fontId="27" fillId="0" borderId="45" xfId="0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  <protection locked="0"/>
    </xf>
    <xf numFmtId="0" fontId="8" fillId="0" borderId="6" xfId="0" applyFont="1" applyBorder="1" applyAlignment="1">
      <alignment horizontal="center" vertical="center" wrapText="1"/>
    </xf>
    <xf numFmtId="0" fontId="0" fillId="8" borderId="0" xfId="0" applyFill="1"/>
    <xf numFmtId="164" fontId="0" fillId="8" borderId="0" xfId="0" applyNumberFormat="1" applyFill="1"/>
    <xf numFmtId="0" fontId="29" fillId="0" borderId="0" xfId="0" applyFont="1" applyAlignment="1">
      <alignment vertical="center"/>
    </xf>
    <xf numFmtId="0" fontId="1" fillId="0" borderId="10" xfId="0" applyFont="1" applyBorder="1" applyAlignment="1">
      <alignment vertical="center"/>
    </xf>
    <xf numFmtId="0" fontId="1" fillId="0" borderId="9" xfId="0" applyFont="1" applyBorder="1" applyAlignment="1">
      <alignment vertical="center"/>
    </xf>
    <xf numFmtId="0" fontId="1" fillId="0" borderId="9" xfId="0" applyFont="1" applyBorder="1" applyAlignment="1">
      <alignment horizontal="right" vertical="center"/>
    </xf>
    <xf numFmtId="0" fontId="1" fillId="0" borderId="8" xfId="0" applyFont="1" applyBorder="1" applyAlignment="1">
      <alignment vertical="center"/>
    </xf>
    <xf numFmtId="0" fontId="1" fillId="0" borderId="12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1" fillId="2" borderId="7" xfId="0" applyFont="1" applyFill="1" applyBorder="1" applyAlignment="1">
      <alignment vertical="center"/>
    </xf>
    <xf numFmtId="0" fontId="1" fillId="2" borderId="6" xfId="0" applyFont="1" applyFill="1" applyBorder="1" applyAlignment="1">
      <alignment vertical="center"/>
    </xf>
    <xf numFmtId="0" fontId="2" fillId="2" borderId="12" xfId="0" applyFont="1" applyFill="1" applyBorder="1" applyAlignment="1">
      <alignment horizontal="right" vertical="center"/>
    </xf>
    <xf numFmtId="0" fontId="2" fillId="2" borderId="7" xfId="0" applyFont="1" applyFill="1" applyBorder="1" applyAlignment="1">
      <alignment horizontal="right" vertical="center"/>
    </xf>
    <xf numFmtId="0" fontId="2" fillId="2" borderId="6" xfId="0" applyFont="1" applyFill="1" applyBorder="1" applyAlignment="1">
      <alignment horizontal="right" vertical="center"/>
    </xf>
    <xf numFmtId="0" fontId="1" fillId="2" borderId="12" xfId="0" applyFont="1" applyFill="1" applyBorder="1" applyAlignment="1">
      <alignment horizontal="right" vertical="center"/>
    </xf>
    <xf numFmtId="0" fontId="1" fillId="2" borderId="7" xfId="0" applyFont="1" applyFill="1" applyBorder="1" applyAlignment="1">
      <alignment horizontal="right" vertical="center"/>
    </xf>
    <xf numFmtId="0" fontId="1" fillId="2" borderId="6" xfId="0" applyFont="1" applyFill="1" applyBorder="1" applyAlignment="1">
      <alignment horizontal="right" vertical="center"/>
    </xf>
    <xf numFmtId="0" fontId="1" fillId="0" borderId="4" xfId="0" applyFont="1" applyBorder="1" applyAlignment="1">
      <alignment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2" borderId="12" xfId="0" applyFont="1" applyFill="1" applyBorder="1" applyAlignment="1">
      <alignment horizontal="right" vertical="center" wrapText="1"/>
    </xf>
    <xf numFmtId="0" fontId="2" fillId="2" borderId="7" xfId="0" applyFont="1" applyFill="1" applyBorder="1" applyAlignment="1">
      <alignment horizontal="right" vertical="center" wrapText="1"/>
    </xf>
    <xf numFmtId="0" fontId="2" fillId="2" borderId="6" xfId="0" applyFont="1" applyFill="1" applyBorder="1" applyAlignment="1">
      <alignment horizontal="right" vertical="center" wrapText="1"/>
    </xf>
    <xf numFmtId="0" fontId="2" fillId="0" borderId="2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2" fillId="2" borderId="6" xfId="0" applyFont="1" applyFill="1" applyBorder="1" applyAlignment="1">
      <alignment vertical="center"/>
    </xf>
    <xf numFmtId="0" fontId="2" fillId="2" borderId="12" xfId="0" applyFont="1" applyFill="1" applyBorder="1" applyAlignment="1">
      <alignment vertical="center" wrapText="1"/>
    </xf>
    <xf numFmtId="0" fontId="2" fillId="2" borderId="6" xfId="0" applyFont="1" applyFill="1" applyBorder="1" applyAlignment="1">
      <alignment vertical="center" wrapText="1"/>
    </xf>
    <xf numFmtId="0" fontId="2" fillId="2" borderId="7" xfId="0" applyFont="1" applyFill="1" applyBorder="1" applyAlignment="1">
      <alignment vertical="center" wrapText="1"/>
    </xf>
    <xf numFmtId="0" fontId="1" fillId="0" borderId="7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6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2" fillId="0" borderId="0" xfId="0" applyFont="1"/>
    <xf numFmtId="0" fontId="2" fillId="0" borderId="0" xfId="0" applyFont="1" applyAlignment="1">
      <alignment horizontal="right" vertical="center"/>
    </xf>
    <xf numFmtId="0" fontId="2" fillId="0" borderId="5" xfId="0" applyFont="1" applyBorder="1" applyAlignment="1">
      <alignment horizontal="right" vertical="center"/>
    </xf>
    <xf numFmtId="0" fontId="1" fillId="0" borderId="12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4" xfId="0" applyFont="1" applyBorder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4" fillId="0" borderId="5" xfId="0" applyFont="1" applyBorder="1" applyAlignment="1">
      <alignment horizontal="right" vertical="center"/>
    </xf>
    <xf numFmtId="0" fontId="2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3" xfId="0" applyFont="1" applyBorder="1" applyAlignment="1">
      <alignment vertical="center"/>
    </xf>
    <xf numFmtId="0" fontId="1" fillId="0" borderId="5" xfId="0" applyFont="1" applyBorder="1" applyAlignment="1">
      <alignment horizontal="right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right" vertical="center" wrapText="1"/>
    </xf>
    <xf numFmtId="0" fontId="1" fillId="0" borderId="0" xfId="0" applyFont="1" applyAlignment="1">
      <alignment horizontal="right" vertical="center" wrapText="1"/>
    </xf>
    <xf numFmtId="0" fontId="1" fillId="0" borderId="5" xfId="0" applyFont="1" applyBorder="1" applyAlignment="1">
      <alignment horizontal="right" vertical="center" wrapText="1"/>
    </xf>
    <xf numFmtId="0" fontId="1" fillId="2" borderId="12" xfId="0" applyFont="1" applyFill="1" applyBorder="1" applyAlignment="1">
      <alignment horizontal="right" vertical="center" wrapText="1"/>
    </xf>
    <xf numFmtId="0" fontId="1" fillId="2" borderId="7" xfId="0" applyFont="1" applyFill="1" applyBorder="1" applyAlignment="1">
      <alignment horizontal="right" vertical="center" wrapText="1"/>
    </xf>
    <xf numFmtId="0" fontId="1" fillId="2" borderId="6" xfId="0" applyFont="1" applyFill="1" applyBorder="1" applyAlignment="1">
      <alignment horizontal="right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2" fillId="2" borderId="12" xfId="0" applyNumberFormat="1" applyFont="1" applyFill="1" applyBorder="1" applyAlignment="1">
      <alignment horizontal="right" vertical="center" wrapText="1"/>
    </xf>
    <xf numFmtId="2" fontId="2" fillId="2" borderId="6" xfId="0" applyNumberFormat="1" applyFont="1" applyFill="1" applyBorder="1" applyAlignment="1">
      <alignment horizontal="right" vertical="center" wrapText="1"/>
    </xf>
    <xf numFmtId="0" fontId="1" fillId="0" borderId="2" xfId="0" applyFont="1" applyBorder="1" applyAlignment="1">
      <alignment horizontal="right" vertical="center"/>
    </xf>
    <xf numFmtId="0" fontId="1" fillId="0" borderId="0" xfId="0" applyFont="1"/>
    <xf numFmtId="0" fontId="2" fillId="0" borderId="4" xfId="0" applyFont="1" applyBorder="1" applyAlignment="1">
      <alignment horizontal="center" vertical="center"/>
    </xf>
    <xf numFmtId="0" fontId="23" fillId="2" borderId="54" xfId="0" applyFont="1" applyFill="1" applyBorder="1" applyAlignment="1" applyProtection="1">
      <alignment horizontal="right" vertical="center"/>
      <protection locked="0"/>
    </xf>
    <xf numFmtId="0" fontId="23" fillId="2" borderId="55" xfId="0" applyFont="1" applyFill="1" applyBorder="1" applyAlignment="1" applyProtection="1">
      <alignment horizontal="right" vertical="center"/>
      <protection locked="0"/>
    </xf>
    <xf numFmtId="0" fontId="23" fillId="2" borderId="56" xfId="0" applyFont="1" applyFill="1" applyBorder="1" applyAlignment="1" applyProtection="1">
      <alignment horizontal="right" vertical="center"/>
      <protection locked="0"/>
    </xf>
    <xf numFmtId="2" fontId="1" fillId="2" borderId="12" xfId="0" applyNumberFormat="1" applyFont="1" applyFill="1" applyBorder="1" applyAlignment="1">
      <alignment horizontal="right" vertical="center"/>
    </xf>
    <xf numFmtId="2" fontId="1" fillId="2" borderId="6" xfId="0" applyNumberFormat="1" applyFont="1" applyFill="1" applyBorder="1" applyAlignment="1">
      <alignment horizontal="right" vertical="center"/>
    </xf>
    <xf numFmtId="0" fontId="1" fillId="0" borderId="7" xfId="0" applyFont="1" applyBorder="1" applyAlignment="1">
      <alignment horizontal="right" vertical="center"/>
    </xf>
    <xf numFmtId="0" fontId="1" fillId="0" borderId="6" xfId="0" applyFont="1" applyBorder="1" applyAlignment="1">
      <alignment horizontal="right" vertical="center"/>
    </xf>
    <xf numFmtId="2" fontId="2" fillId="2" borderId="12" xfId="0" applyNumberFormat="1" applyFont="1" applyFill="1" applyBorder="1" applyAlignment="1">
      <alignment vertical="center"/>
    </xf>
    <xf numFmtId="2" fontId="2" fillId="2" borderId="6" xfId="0" applyNumberFormat="1" applyFont="1" applyFill="1" applyBorder="1" applyAlignment="1">
      <alignment vertical="center"/>
    </xf>
    <xf numFmtId="0" fontId="2" fillId="3" borderId="0" xfId="0" applyFont="1" applyFill="1"/>
    <xf numFmtId="0" fontId="2" fillId="3" borderId="5" xfId="0" applyFont="1" applyFill="1" applyBorder="1"/>
    <xf numFmtId="0" fontId="1" fillId="0" borderId="2" xfId="0" applyFont="1" applyBorder="1"/>
    <xf numFmtId="0" fontId="2" fillId="0" borderId="5" xfId="0" applyFont="1" applyBorder="1"/>
    <xf numFmtId="0" fontId="2" fillId="0" borderId="4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1" fillId="0" borderId="3" xfId="0" applyFont="1" applyBorder="1" applyAlignment="1">
      <alignment horizontal="center" vertical="center"/>
    </xf>
    <xf numFmtId="2" fontId="1" fillId="2" borderId="12" xfId="0" applyNumberFormat="1" applyFont="1" applyFill="1" applyBorder="1" applyAlignment="1">
      <alignment vertical="center"/>
    </xf>
    <xf numFmtId="2" fontId="1" fillId="2" borderId="6" xfId="0" applyNumberFormat="1" applyFont="1" applyFill="1" applyBorder="1" applyAlignment="1">
      <alignment vertical="center"/>
    </xf>
    <xf numFmtId="0" fontId="23" fillId="0" borderId="0" xfId="0" applyFont="1" applyAlignment="1" applyProtection="1">
      <alignment horizontal="right" vertical="center"/>
      <protection locked="0"/>
    </xf>
    <xf numFmtId="0" fontId="23" fillId="2" borderId="51" xfId="0" applyFont="1" applyFill="1" applyBorder="1" applyAlignment="1" applyProtection="1">
      <alignment horizontal="right" vertical="center"/>
      <protection locked="0"/>
    </xf>
    <xf numFmtId="0" fontId="23" fillId="2" borderId="52" xfId="0" applyFont="1" applyFill="1" applyBorder="1" applyAlignment="1" applyProtection="1">
      <alignment horizontal="right" vertical="center"/>
      <protection locked="0"/>
    </xf>
    <xf numFmtId="0" fontId="23" fillId="2" borderId="53" xfId="0" applyFont="1" applyFill="1" applyBorder="1" applyAlignment="1" applyProtection="1">
      <alignment horizontal="right" vertical="center"/>
      <protection locked="0"/>
    </xf>
    <xf numFmtId="0" fontId="1" fillId="0" borderId="0" xfId="0" applyFont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2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left" indent="2"/>
    </xf>
    <xf numFmtId="2" fontId="2" fillId="0" borderId="2" xfId="0" applyNumberFormat="1" applyFont="1" applyBorder="1" applyAlignment="1">
      <alignment horizontal="left" indent="1"/>
    </xf>
    <xf numFmtId="0" fontId="2" fillId="0" borderId="3" xfId="0" applyFont="1" applyBorder="1" applyAlignment="1">
      <alignment horizontal="left" indent="1"/>
    </xf>
    <xf numFmtId="0" fontId="2" fillId="0" borderId="0" xfId="0" applyFont="1" applyAlignment="1">
      <alignment horizontal="left" indent="1"/>
    </xf>
    <xf numFmtId="0" fontId="2" fillId="0" borderId="5" xfId="0" applyFont="1" applyBorder="1" applyAlignment="1">
      <alignment horizontal="left" indent="1"/>
    </xf>
    <xf numFmtId="0" fontId="1" fillId="0" borderId="5" xfId="0" applyFont="1" applyBorder="1"/>
    <xf numFmtId="164" fontId="1" fillId="2" borderId="12" xfId="0" applyNumberFormat="1" applyFont="1" applyFill="1" applyBorder="1" applyAlignment="1">
      <alignment horizontal="right" vertical="center"/>
    </xf>
    <xf numFmtId="164" fontId="1" fillId="2" borderId="6" xfId="0" applyNumberFormat="1" applyFont="1" applyFill="1" applyBorder="1" applyAlignment="1">
      <alignment horizontal="right" vertical="center"/>
    </xf>
    <xf numFmtId="0" fontId="2" fillId="0" borderId="9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0" xfId="0"/>
    <xf numFmtId="2" fontId="2" fillId="0" borderId="0" xfId="0" applyNumberFormat="1" applyFont="1" applyAlignment="1">
      <alignment vertical="center"/>
    </xf>
    <xf numFmtId="2" fontId="2" fillId="0" borderId="5" xfId="0" applyNumberFormat="1" applyFont="1" applyBorder="1" applyAlignment="1">
      <alignment vertical="center"/>
    </xf>
    <xf numFmtId="0" fontId="4" fillId="0" borderId="9" xfId="0" applyFont="1" applyBorder="1" applyAlignment="1">
      <alignment horizontal="right" vertical="center"/>
    </xf>
    <xf numFmtId="0" fontId="2" fillId="0" borderId="5" xfId="0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 wrapText="1"/>
    </xf>
    <xf numFmtId="0" fontId="2" fillId="0" borderId="10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1" fillId="0" borderId="4" xfId="0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 indent="1"/>
    </xf>
    <xf numFmtId="0" fontId="2" fillId="0" borderId="3" xfId="0" applyFont="1" applyBorder="1" applyAlignment="1">
      <alignment horizontal="left" vertical="center" indent="1"/>
    </xf>
    <xf numFmtId="0" fontId="2" fillId="2" borderId="12" xfId="0" applyFont="1" applyFill="1" applyBorder="1" applyAlignment="1" applyProtection="1">
      <alignment horizontal="right" vertical="center"/>
      <protection locked="0"/>
    </xf>
    <xf numFmtId="0" fontId="2" fillId="2" borderId="7" xfId="0" applyFont="1" applyFill="1" applyBorder="1" applyAlignment="1" applyProtection="1">
      <alignment horizontal="right" vertical="center"/>
      <protection locked="0"/>
    </xf>
    <xf numFmtId="0" fontId="2" fillId="2" borderId="6" xfId="0" applyFont="1" applyFill="1" applyBorder="1" applyAlignment="1" applyProtection="1">
      <alignment horizontal="right" vertical="center"/>
      <protection locked="0"/>
    </xf>
    <xf numFmtId="0" fontId="2" fillId="0" borderId="5" xfId="0" applyFont="1" applyBorder="1" applyAlignment="1">
      <alignment vertical="center" wrapText="1"/>
    </xf>
    <xf numFmtId="2" fontId="2" fillId="2" borderId="12" xfId="0" applyNumberFormat="1" applyFont="1" applyFill="1" applyBorder="1" applyAlignment="1" applyProtection="1">
      <alignment vertical="center"/>
      <protection locked="0"/>
    </xf>
    <xf numFmtId="2" fontId="2" fillId="2" borderId="6" xfId="0" applyNumberFormat="1" applyFont="1" applyFill="1" applyBorder="1" applyAlignment="1" applyProtection="1">
      <alignment vertical="center"/>
      <protection locked="0"/>
    </xf>
    <xf numFmtId="0" fontId="23" fillId="0" borderId="12" xfId="0" applyFont="1" applyBorder="1" applyAlignment="1" applyProtection="1">
      <alignment horizontal="right" vertical="center"/>
      <protection locked="0"/>
    </xf>
    <xf numFmtId="0" fontId="23" fillId="0" borderId="7" xfId="0" applyFont="1" applyBorder="1" applyAlignment="1" applyProtection="1">
      <alignment horizontal="right" vertical="center"/>
      <protection locked="0"/>
    </xf>
    <xf numFmtId="0" fontId="23" fillId="0" borderId="6" xfId="0" applyFont="1" applyBorder="1" applyAlignment="1" applyProtection="1">
      <alignment horizontal="right" vertical="center"/>
      <protection locked="0"/>
    </xf>
    <xf numFmtId="0" fontId="1" fillId="0" borderId="2" xfId="0" applyFont="1" applyBorder="1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1" fillId="0" borderId="1" xfId="0" applyFont="1" applyBorder="1" applyAlignment="1">
      <alignment vertical="center"/>
    </xf>
    <xf numFmtId="0" fontId="22" fillId="0" borderId="12" xfId="0" applyFont="1" applyBorder="1" applyAlignment="1" applyProtection="1">
      <alignment horizontal="right" vertical="center" wrapText="1"/>
      <protection locked="0"/>
    </xf>
    <xf numFmtId="0" fontId="22" fillId="0" borderId="7" xfId="0" applyFont="1" applyBorder="1" applyAlignment="1" applyProtection="1">
      <alignment horizontal="right" vertical="center" wrapText="1"/>
      <protection locked="0"/>
    </xf>
    <xf numFmtId="0" fontId="22" fillId="0" borderId="6" xfId="0" applyFont="1" applyBorder="1" applyAlignment="1" applyProtection="1">
      <alignment horizontal="right" vertical="center" wrapText="1"/>
      <protection locked="0"/>
    </xf>
    <xf numFmtId="0" fontId="22" fillId="0" borderId="12" xfId="0" applyFont="1" applyBorder="1" applyAlignment="1" applyProtection="1">
      <alignment horizontal="right" vertical="center"/>
      <protection locked="0"/>
    </xf>
    <xf numFmtId="0" fontId="22" fillId="0" borderId="7" xfId="0" applyFont="1" applyBorder="1" applyAlignment="1" applyProtection="1">
      <alignment horizontal="right" vertical="center"/>
      <protection locked="0"/>
    </xf>
    <xf numFmtId="0" fontId="22" fillId="0" borderId="6" xfId="0" applyFont="1" applyBorder="1" applyAlignment="1" applyProtection="1">
      <alignment horizontal="right" vertical="center"/>
      <protection locked="0"/>
    </xf>
    <xf numFmtId="16" fontId="2" fillId="2" borderId="12" xfId="0" applyNumberFormat="1" applyFont="1" applyFill="1" applyBorder="1" applyAlignment="1" applyProtection="1">
      <alignment horizontal="right" vertical="center" wrapText="1"/>
      <protection locked="0"/>
    </xf>
    <xf numFmtId="0" fontId="2" fillId="2" borderId="7" xfId="0" applyFont="1" applyFill="1" applyBorder="1" applyAlignment="1" applyProtection="1">
      <alignment horizontal="right" vertical="center" wrapText="1"/>
      <protection locked="0"/>
    </xf>
    <xf numFmtId="0" fontId="2" fillId="2" borderId="6" xfId="0" applyFont="1" applyFill="1" applyBorder="1" applyAlignment="1" applyProtection="1">
      <alignment horizontal="right" vertical="center" wrapText="1"/>
      <protection locked="0"/>
    </xf>
    <xf numFmtId="168" fontId="1" fillId="0" borderId="12" xfId="0" applyNumberFormat="1" applyFont="1" applyBorder="1" applyAlignment="1">
      <alignment horizontal="right" vertical="center" wrapText="1"/>
    </xf>
    <xf numFmtId="168" fontId="1" fillId="0" borderId="7" xfId="0" applyNumberFormat="1" applyFont="1" applyBorder="1" applyAlignment="1">
      <alignment horizontal="right" vertical="center" wrapText="1"/>
    </xf>
    <xf numFmtId="168" fontId="1" fillId="0" borderId="6" xfId="0" applyNumberFormat="1" applyFont="1" applyBorder="1" applyAlignment="1">
      <alignment horizontal="right" vertical="center" wrapText="1"/>
    </xf>
    <xf numFmtId="0" fontId="2" fillId="0" borderId="4" xfId="0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28" fillId="8" borderId="0" xfId="0" applyFont="1" applyFill="1" applyAlignment="1">
      <alignment horizontal="left" vertical="center" wrapText="1"/>
    </xf>
    <xf numFmtId="0" fontId="2" fillId="5" borderId="12" xfId="0" applyFont="1" applyFill="1" applyBorder="1" applyAlignment="1">
      <alignment horizontal="right" vertical="center"/>
    </xf>
    <xf numFmtId="0" fontId="2" fillId="5" borderId="7" xfId="0" applyFont="1" applyFill="1" applyBorder="1" applyAlignment="1">
      <alignment horizontal="right" vertical="center"/>
    </xf>
    <xf numFmtId="0" fontId="2" fillId="5" borderId="6" xfId="0" applyFont="1" applyFill="1" applyBorder="1" applyAlignment="1">
      <alignment horizontal="right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1" fillId="5" borderId="12" xfId="0" applyFont="1" applyFill="1" applyBorder="1" applyAlignment="1" applyProtection="1">
      <alignment vertical="center"/>
      <protection locked="0"/>
    </xf>
    <xf numFmtId="0" fontId="1" fillId="5" borderId="7" xfId="0" applyFont="1" applyFill="1" applyBorder="1" applyAlignment="1" applyProtection="1">
      <alignment vertical="center"/>
      <protection locked="0"/>
    </xf>
    <xf numFmtId="0" fontId="1" fillId="5" borderId="6" xfId="0" applyFont="1" applyFill="1" applyBorder="1" applyAlignment="1" applyProtection="1">
      <alignment vertical="center"/>
      <protection locked="0"/>
    </xf>
    <xf numFmtId="0" fontId="1" fillId="2" borderId="12" xfId="0" applyFont="1" applyFill="1" applyBorder="1" applyAlignment="1" applyProtection="1">
      <alignment vertical="center"/>
      <protection locked="0"/>
    </xf>
    <xf numFmtId="0" fontId="1" fillId="2" borderId="7" xfId="0" applyFont="1" applyFill="1" applyBorder="1" applyAlignment="1" applyProtection="1">
      <alignment vertical="center"/>
      <protection locked="0"/>
    </xf>
    <xf numFmtId="0" fontId="1" fillId="2" borderId="6" xfId="0" applyFont="1" applyFill="1" applyBorder="1" applyAlignment="1" applyProtection="1">
      <alignment vertical="center"/>
      <protection locked="0"/>
    </xf>
    <xf numFmtId="0" fontId="2" fillId="0" borderId="2" xfId="0" applyFont="1" applyBorder="1"/>
    <xf numFmtId="0" fontId="2" fillId="0" borderId="3" xfId="0" applyFont="1" applyBorder="1"/>
    <xf numFmtId="0" fontId="1" fillId="5" borderId="12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left" indent="1"/>
    </xf>
    <xf numFmtId="0" fontId="1" fillId="0" borderId="3" xfId="0" applyFont="1" applyBorder="1"/>
    <xf numFmtId="0" fontId="2" fillId="2" borderId="12" xfId="0" applyFont="1" applyFill="1" applyBorder="1" applyAlignment="1" applyProtection="1">
      <alignment vertical="center"/>
      <protection locked="0"/>
    </xf>
    <xf numFmtId="0" fontId="2" fillId="2" borderId="7" xfId="0" applyFont="1" applyFill="1" applyBorder="1" applyAlignment="1" applyProtection="1">
      <alignment vertical="center"/>
      <protection locked="0"/>
    </xf>
    <xf numFmtId="0" fontId="2" fillId="2" borderId="6" xfId="0" applyFont="1" applyFill="1" applyBorder="1" applyAlignment="1" applyProtection="1">
      <alignment vertical="center"/>
      <protection locked="0"/>
    </xf>
    <xf numFmtId="0" fontId="2" fillId="0" borderId="1" xfId="0" applyFont="1" applyBorder="1"/>
    <xf numFmtId="0" fontId="4" fillId="0" borderId="10" xfId="0" applyFont="1" applyBorder="1" applyAlignment="1">
      <alignment horizontal="right" vertical="center"/>
    </xf>
    <xf numFmtId="0" fontId="2" fillId="0" borderId="2" xfId="0" applyFont="1" applyBorder="1" applyAlignment="1">
      <alignment vertical="center" wrapText="1"/>
    </xf>
    <xf numFmtId="0" fontId="1" fillId="0" borderId="10" xfId="0" applyFont="1" applyBorder="1" applyAlignment="1">
      <alignment horizontal="right" vertical="center"/>
    </xf>
    <xf numFmtId="0" fontId="1" fillId="0" borderId="7" xfId="0" applyFont="1" applyBorder="1" applyAlignment="1">
      <alignment horizontal="right" vertical="center" wrapText="1"/>
    </xf>
    <xf numFmtId="0" fontId="2" fillId="0" borderId="9" xfId="0" applyFont="1" applyBorder="1" applyAlignment="1">
      <alignment horizontal="right" vertical="center" wrapText="1"/>
    </xf>
    <xf numFmtId="164" fontId="0" fillId="0" borderId="13" xfId="0" applyNumberFormat="1" applyBorder="1" applyAlignment="1">
      <alignment horizontal="center" vertical="center"/>
    </xf>
    <xf numFmtId="164" fontId="0" fillId="0" borderId="28" xfId="0" applyNumberFormat="1" applyBorder="1" applyAlignment="1">
      <alignment horizontal="center" vertical="center"/>
    </xf>
    <xf numFmtId="164" fontId="0" fillId="0" borderId="14" xfId="0" applyNumberFormat="1" applyBorder="1" applyAlignment="1">
      <alignment horizontal="center" vertical="center"/>
    </xf>
    <xf numFmtId="166" fontId="0" fillId="0" borderId="19" xfId="0" applyNumberFormat="1" applyBorder="1" applyAlignment="1">
      <alignment horizontal="center" vertical="center"/>
    </xf>
    <xf numFmtId="166" fontId="0" fillId="0" borderId="30" xfId="0" applyNumberFormat="1" applyBorder="1" applyAlignment="1">
      <alignment horizontal="center" vertical="center"/>
    </xf>
    <xf numFmtId="166" fontId="0" fillId="0" borderId="21" xfId="0" applyNumberFormat="1" applyBorder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6" fontId="0" fillId="0" borderId="17" xfId="0" applyNumberFormat="1" applyBorder="1" applyAlignment="1">
      <alignment horizontal="center" vertical="center"/>
    </xf>
    <xf numFmtId="164" fontId="0" fillId="0" borderId="27" xfId="0" applyNumberForma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9" fillId="0" borderId="0" xfId="0" quotePrefix="1" applyFont="1" applyAlignment="1">
      <alignment horizontal="left"/>
    </xf>
    <xf numFmtId="0" fontId="0" fillId="0" borderId="0" xfId="0" applyAlignment="1">
      <alignment horizontal="left"/>
    </xf>
    <xf numFmtId="0" fontId="17" fillId="9" borderId="0" xfId="0" applyFont="1" applyFill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9" fillId="0" borderId="0" xfId="0" applyFont="1" applyAlignment="1">
      <alignment horizontal="left" vertical="top" wrapText="1"/>
    </xf>
  </cellXfs>
  <cellStyles count="2">
    <cellStyle name="Prozent" xfId="1" builtinId="5"/>
    <cellStyle name="Standard" xfId="0" builtinId="0"/>
  </cellStyles>
  <dxfs count="13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B9705"/>
      <color rgb="FF9083BB"/>
      <color rgb="FFD3CEE4"/>
      <color rgb="FFFF3399"/>
      <color rgb="FFB03200"/>
      <color rgb="FFFCBD60"/>
      <color rgb="FFFF4C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Fuel!$B$4:$B$82</c:f>
              <c:numCache>
                <c:formatCode>0.0</c:formatCode>
                <c:ptCount val="79"/>
                <c:pt idx="0">
                  <c:v>600</c:v>
                </c:pt>
                <c:pt idx="1">
                  <c:v>1200</c:v>
                </c:pt>
                <c:pt idx="2">
                  <c:v>1800</c:v>
                </c:pt>
                <c:pt idx="3">
                  <c:v>2400</c:v>
                </c:pt>
                <c:pt idx="4">
                  <c:v>3000</c:v>
                </c:pt>
                <c:pt idx="5">
                  <c:v>3600</c:v>
                </c:pt>
                <c:pt idx="6">
                  <c:v>4200</c:v>
                </c:pt>
                <c:pt idx="7">
                  <c:v>4800</c:v>
                </c:pt>
                <c:pt idx="8">
                  <c:v>5400</c:v>
                </c:pt>
                <c:pt idx="9">
                  <c:v>6000</c:v>
                </c:pt>
                <c:pt idx="10">
                  <c:v>6600</c:v>
                </c:pt>
                <c:pt idx="11">
                  <c:v>7200</c:v>
                </c:pt>
                <c:pt idx="12">
                  <c:v>7800</c:v>
                </c:pt>
                <c:pt idx="13">
                  <c:v>8400</c:v>
                </c:pt>
                <c:pt idx="14">
                  <c:v>9000</c:v>
                </c:pt>
                <c:pt idx="15">
                  <c:v>9600</c:v>
                </c:pt>
                <c:pt idx="16">
                  <c:v>10200</c:v>
                </c:pt>
                <c:pt idx="17">
                  <c:v>10800</c:v>
                </c:pt>
                <c:pt idx="18">
                  <c:v>11400</c:v>
                </c:pt>
                <c:pt idx="19">
                  <c:v>12000</c:v>
                </c:pt>
                <c:pt idx="20">
                  <c:v>12600</c:v>
                </c:pt>
                <c:pt idx="21">
                  <c:v>13200</c:v>
                </c:pt>
                <c:pt idx="22">
                  <c:v>13800</c:v>
                </c:pt>
                <c:pt idx="23">
                  <c:v>14400</c:v>
                </c:pt>
                <c:pt idx="24">
                  <c:v>15000</c:v>
                </c:pt>
                <c:pt idx="25">
                  <c:v>15600</c:v>
                </c:pt>
                <c:pt idx="26">
                  <c:v>16200</c:v>
                </c:pt>
                <c:pt idx="27">
                  <c:v>16377.599999999999</c:v>
                </c:pt>
              </c:numCache>
            </c:numRef>
          </c:xVal>
          <c:yVal>
            <c:numRef>
              <c:f>Fuel!$D$4:$D$82</c:f>
              <c:numCache>
                <c:formatCode>0</c:formatCode>
                <c:ptCount val="79"/>
                <c:pt idx="0">
                  <c:v>-0.46</c:v>
                </c:pt>
                <c:pt idx="1">
                  <c:v>-0.78</c:v>
                </c:pt>
                <c:pt idx="2">
                  <c:v>-0.88</c:v>
                </c:pt>
                <c:pt idx="3">
                  <c:v>-0.8</c:v>
                </c:pt>
                <c:pt idx="4">
                  <c:v>-0.56999999999999995</c:v>
                </c:pt>
                <c:pt idx="5">
                  <c:v>-0.16</c:v>
                </c:pt>
                <c:pt idx="6">
                  <c:v>0.52</c:v>
                </c:pt>
                <c:pt idx="7">
                  <c:v>1.56</c:v>
                </c:pt>
                <c:pt idx="8">
                  <c:v>0.88</c:v>
                </c:pt>
                <c:pt idx="9">
                  <c:v>-0.31</c:v>
                </c:pt>
                <c:pt idx="10">
                  <c:v>-1.61</c:v>
                </c:pt>
                <c:pt idx="11">
                  <c:v>-2.94</c:v>
                </c:pt>
                <c:pt idx="12">
                  <c:v>-4.2699999999999996</c:v>
                </c:pt>
                <c:pt idx="13">
                  <c:v>-5.58</c:v>
                </c:pt>
                <c:pt idx="14">
                  <c:v>-6.89</c:v>
                </c:pt>
                <c:pt idx="15">
                  <c:v>-8.17</c:v>
                </c:pt>
                <c:pt idx="16">
                  <c:v>-9.4499999999999993</c:v>
                </c:pt>
                <c:pt idx="17">
                  <c:v>-10.71</c:v>
                </c:pt>
                <c:pt idx="18">
                  <c:v>-11.97</c:v>
                </c:pt>
                <c:pt idx="19">
                  <c:v>-13.19</c:v>
                </c:pt>
                <c:pt idx="20">
                  <c:v>-14.43</c:v>
                </c:pt>
                <c:pt idx="21">
                  <c:v>-15.66</c:v>
                </c:pt>
                <c:pt idx="22">
                  <c:v>-16.91</c:v>
                </c:pt>
                <c:pt idx="23">
                  <c:v>-18.190000000000001</c:v>
                </c:pt>
                <c:pt idx="24">
                  <c:v>-19.52</c:v>
                </c:pt>
                <c:pt idx="25">
                  <c:v>-20.8</c:v>
                </c:pt>
                <c:pt idx="26">
                  <c:v>-21.78</c:v>
                </c:pt>
                <c:pt idx="27">
                  <c:v>-21.73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DF3-4E81-9DBC-780335C28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7551872"/>
        <c:axId val="477556576"/>
      </c:scatterChart>
      <c:valAx>
        <c:axId val="477551872"/>
        <c:scaling>
          <c:orientation val="minMax"/>
        </c:scaling>
        <c:delete val="0"/>
        <c:axPos val="b"/>
        <c:numFmt formatCode="0.0" sourceLinked="1"/>
        <c:majorTickMark val="out"/>
        <c:minorTickMark val="none"/>
        <c:tickLblPos val="nextTo"/>
        <c:crossAx val="477556576"/>
        <c:crosses val="autoZero"/>
        <c:crossBetween val="midCat"/>
      </c:valAx>
      <c:valAx>
        <c:axId val="477556576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775518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'Graph Calculation'!$AN$24</c:f>
              <c:strCache>
                <c:ptCount val="1"/>
                <c:pt idx="0">
                  <c:v>7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'Graph Calculation'!$AM$3:$AM$19</c:f>
              <c:numCache>
                <c:formatCode>General</c:formatCode>
                <c:ptCount val="17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  <c:pt idx="9">
                  <c:v>55</c:v>
                </c:pt>
                <c:pt idx="10">
                  <c:v>60</c:v>
                </c:pt>
                <c:pt idx="11">
                  <c:v>65</c:v>
                </c:pt>
                <c:pt idx="12">
                  <c:v>70</c:v>
                </c:pt>
                <c:pt idx="13">
                  <c:v>75</c:v>
                </c:pt>
                <c:pt idx="14">
                  <c:v>80</c:v>
                </c:pt>
                <c:pt idx="15">
                  <c:v>85</c:v>
                </c:pt>
                <c:pt idx="16">
                  <c:v>90</c:v>
                </c:pt>
              </c:numCache>
            </c:numRef>
          </c:cat>
          <c:val>
            <c:numRef>
              <c:f>'Graph Calculation'!$AN$3:$AN$19</c:f>
              <c:numCache>
                <c:formatCode>0</c:formatCode>
                <c:ptCount val="17"/>
                <c:pt idx="0">
                  <c:v>50342.327829238813</c:v>
                </c:pt>
                <c:pt idx="1">
                  <c:v>45765.752572035286</c:v>
                </c:pt>
                <c:pt idx="2">
                  <c:v>41189.177314831759</c:v>
                </c:pt>
                <c:pt idx="3">
                  <c:v>36612.602057628232</c:v>
                </c:pt>
                <c:pt idx="4">
                  <c:v>32036.026800424701</c:v>
                </c:pt>
                <c:pt idx="5">
                  <c:v>27459.451543221174</c:v>
                </c:pt>
                <c:pt idx="6">
                  <c:v>22882.876286017643</c:v>
                </c:pt>
                <c:pt idx="7">
                  <c:v>18306.301028814116</c:v>
                </c:pt>
                <c:pt idx="8">
                  <c:v>13729.725771610587</c:v>
                </c:pt>
                <c:pt idx="9">
                  <c:v>9153.1505144070579</c:v>
                </c:pt>
                <c:pt idx="10">
                  <c:v>4576.575257203529</c:v>
                </c:pt>
                <c:pt idx="11">
                  <c:v>0</c:v>
                </c:pt>
                <c:pt idx="12">
                  <c:v>-4576.575257203529</c:v>
                </c:pt>
                <c:pt idx="13">
                  <c:v>-9153.1505144070579</c:v>
                </c:pt>
                <c:pt idx="14">
                  <c:v>-13729.725771610587</c:v>
                </c:pt>
                <c:pt idx="15">
                  <c:v>-18306.301028814116</c:v>
                </c:pt>
                <c:pt idx="16">
                  <c:v>-22882.876286017643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49-458C-BAFA-AB8ACD33A97D}"/>
            </c:ext>
          </c:extLst>
        </c:ser>
        <c:ser>
          <c:idx val="1"/>
          <c:order val="1"/>
          <c:tx>
            <c:strRef>
              <c:f>'Graph Calculation'!$AO$24</c:f>
              <c:strCache>
                <c:ptCount val="1"/>
                <c:pt idx="0">
                  <c:v>9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val>
            <c:numRef>
              <c:f>'Graph Calculation'!$AO$3:$AO$19</c:f>
              <c:numCache>
                <c:formatCode>0</c:formatCode>
                <c:ptCount val="17"/>
                <c:pt idx="0">
                  <c:v>58186.280732935549</c:v>
                </c:pt>
                <c:pt idx="1">
                  <c:v>52896.618848123224</c:v>
                </c:pt>
                <c:pt idx="2">
                  <c:v>47606.956963310899</c:v>
                </c:pt>
                <c:pt idx="3">
                  <c:v>42317.295078498581</c:v>
                </c:pt>
                <c:pt idx="4">
                  <c:v>37027.633193686255</c:v>
                </c:pt>
                <c:pt idx="5">
                  <c:v>31737.971308873934</c:v>
                </c:pt>
                <c:pt idx="6">
                  <c:v>26448.309424061612</c:v>
                </c:pt>
                <c:pt idx="7">
                  <c:v>21158.64753924929</c:v>
                </c:pt>
                <c:pt idx="8">
                  <c:v>15868.985654436967</c:v>
                </c:pt>
                <c:pt idx="9">
                  <c:v>10579.323769624645</c:v>
                </c:pt>
                <c:pt idx="10">
                  <c:v>5289.6618848123226</c:v>
                </c:pt>
                <c:pt idx="11">
                  <c:v>0</c:v>
                </c:pt>
                <c:pt idx="12">
                  <c:v>-5289.6618848123226</c:v>
                </c:pt>
                <c:pt idx="13">
                  <c:v>-10579.323769624645</c:v>
                </c:pt>
                <c:pt idx="14">
                  <c:v>-15868.985654436967</c:v>
                </c:pt>
                <c:pt idx="15">
                  <c:v>-21158.64753924929</c:v>
                </c:pt>
                <c:pt idx="16">
                  <c:v>-26448.309424061612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49-458C-BAFA-AB8ACD33A97D}"/>
            </c:ext>
          </c:extLst>
        </c:ser>
        <c:ser>
          <c:idx val="2"/>
          <c:order val="2"/>
          <c:tx>
            <c:strRef>
              <c:f>'Graph Calculation'!$AP$24</c:f>
              <c:strCache>
                <c:ptCount val="1"/>
                <c:pt idx="0">
                  <c:v>11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val>
            <c:numRef>
              <c:f>'Graph Calculation'!$AP$3:$AP$19</c:f>
              <c:numCache>
                <c:formatCode>0</c:formatCode>
                <c:ptCount val="17"/>
                <c:pt idx="0">
                  <c:v>68925.76068975887</c:v>
                </c:pt>
                <c:pt idx="1">
                  <c:v>62659.782445235338</c:v>
                </c:pt>
                <c:pt idx="2">
                  <c:v>56393.804200711806</c:v>
                </c:pt>
                <c:pt idx="3">
                  <c:v>50127.825956188273</c:v>
                </c:pt>
                <c:pt idx="4">
                  <c:v>43861.847711664741</c:v>
                </c:pt>
                <c:pt idx="5">
                  <c:v>37595.869467141201</c:v>
                </c:pt>
                <c:pt idx="6">
                  <c:v>31329.891222617669</c:v>
                </c:pt>
                <c:pt idx="7">
                  <c:v>25063.912978094137</c:v>
                </c:pt>
                <c:pt idx="8">
                  <c:v>18797.934733570601</c:v>
                </c:pt>
                <c:pt idx="9">
                  <c:v>12531.956489047068</c:v>
                </c:pt>
                <c:pt idx="10">
                  <c:v>6265.9782445235342</c:v>
                </c:pt>
                <c:pt idx="11">
                  <c:v>0</c:v>
                </c:pt>
                <c:pt idx="12">
                  <c:v>-6265.9782445235342</c:v>
                </c:pt>
                <c:pt idx="13">
                  <c:v>-12531.956489047068</c:v>
                </c:pt>
                <c:pt idx="14">
                  <c:v>-18797.934733570601</c:v>
                </c:pt>
                <c:pt idx="15">
                  <c:v>-25063.912978094137</c:v>
                </c:pt>
                <c:pt idx="16">
                  <c:v>-31329.891222617669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49-458C-BAFA-AB8ACD33A97D}"/>
            </c:ext>
          </c:extLst>
        </c:ser>
        <c:ser>
          <c:idx val="3"/>
          <c:order val="3"/>
          <c:tx>
            <c:strRef>
              <c:f>'Graph Calculation'!$AQ$24</c:f>
              <c:strCache>
                <c:ptCount val="1"/>
                <c:pt idx="0">
                  <c:v>13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val>
            <c:numRef>
              <c:f>'Graph Calculation'!$AQ$3:$AQ$19</c:f>
              <c:numCache>
                <c:formatCode>0</c:formatCode>
                <c:ptCount val="17"/>
                <c:pt idx="0">
                  <c:v>84526.956414827553</c:v>
                </c:pt>
                <c:pt idx="1">
                  <c:v>76842.687649843225</c:v>
                </c:pt>
                <c:pt idx="2">
                  <c:v>69158.418884858896</c:v>
                </c:pt>
                <c:pt idx="3">
                  <c:v>61474.150119874575</c:v>
                </c:pt>
                <c:pt idx="4">
                  <c:v>53789.881354890254</c:v>
                </c:pt>
                <c:pt idx="5">
                  <c:v>46105.612589905933</c:v>
                </c:pt>
                <c:pt idx="6">
                  <c:v>38421.343824921612</c:v>
                </c:pt>
                <c:pt idx="7">
                  <c:v>30737.075059937288</c:v>
                </c:pt>
                <c:pt idx="8">
                  <c:v>23052.806294952967</c:v>
                </c:pt>
                <c:pt idx="9">
                  <c:v>15368.537529968644</c:v>
                </c:pt>
                <c:pt idx="10">
                  <c:v>7684.2687649843219</c:v>
                </c:pt>
                <c:pt idx="11">
                  <c:v>0</c:v>
                </c:pt>
                <c:pt idx="12">
                  <c:v>-7684.2687649843219</c:v>
                </c:pt>
                <c:pt idx="13">
                  <c:v>-15368.537529968644</c:v>
                </c:pt>
                <c:pt idx="14">
                  <c:v>-23052.806294952967</c:v>
                </c:pt>
                <c:pt idx="15">
                  <c:v>-30737.075059937288</c:v>
                </c:pt>
                <c:pt idx="16">
                  <c:v>-38421.343824921612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49-458C-BAFA-AB8ACD33A97D}"/>
            </c:ext>
          </c:extLst>
        </c:ser>
        <c:ser>
          <c:idx val="4"/>
          <c:order val="4"/>
          <c:tx>
            <c:strRef>
              <c:f>'Graph Calculation'!$AR$24</c:f>
              <c:strCache>
                <c:ptCount val="1"/>
                <c:pt idx="0">
                  <c:v>15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val>
            <c:numRef>
              <c:f>'Graph Calculation'!$AR$3:$AR$19</c:f>
              <c:numCache>
                <c:formatCode>0</c:formatCode>
                <c:ptCount val="17"/>
                <c:pt idx="0">
                  <c:v>109257.0520460866</c:v>
                </c:pt>
                <c:pt idx="1">
                  <c:v>99324.592769169627</c:v>
                </c:pt>
                <c:pt idx="2">
                  <c:v>89392.133492252673</c:v>
                </c:pt>
                <c:pt idx="3">
                  <c:v>79459.674215335705</c:v>
                </c:pt>
                <c:pt idx="4">
                  <c:v>69527.214938418736</c:v>
                </c:pt>
                <c:pt idx="5">
                  <c:v>59594.755661501782</c:v>
                </c:pt>
                <c:pt idx="6">
                  <c:v>49662.296384584813</c:v>
                </c:pt>
                <c:pt idx="7">
                  <c:v>39729.837107667852</c:v>
                </c:pt>
                <c:pt idx="8">
                  <c:v>29797.377830750891</c:v>
                </c:pt>
                <c:pt idx="9">
                  <c:v>19864.918553833926</c:v>
                </c:pt>
                <c:pt idx="10">
                  <c:v>9932.4592769169631</c:v>
                </c:pt>
                <c:pt idx="11">
                  <c:v>0</c:v>
                </c:pt>
                <c:pt idx="12">
                  <c:v>-9932.4592769169631</c:v>
                </c:pt>
                <c:pt idx="13">
                  <c:v>-19864.918553833926</c:v>
                </c:pt>
                <c:pt idx="14">
                  <c:v>-29797.377830750891</c:v>
                </c:pt>
                <c:pt idx="15">
                  <c:v>-39729.837107667852</c:v>
                </c:pt>
                <c:pt idx="16">
                  <c:v>-49662.296384584813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D49-458C-BAFA-AB8ACD33A97D}"/>
            </c:ext>
          </c:extLst>
        </c:ser>
        <c:ser>
          <c:idx val="5"/>
          <c:order val="5"/>
          <c:tx>
            <c:strRef>
              <c:f>'Graph Calculation'!$AS$24</c:f>
              <c:strCache>
                <c:ptCount val="1"/>
                <c:pt idx="0">
                  <c:v>17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val>
            <c:numRef>
              <c:f>'Graph Calculation'!$AS$3:$AS$19</c:f>
              <c:numCache>
                <c:formatCode>0</c:formatCode>
                <c:ptCount val="17"/>
                <c:pt idx="0">
                  <c:v>154442.32281253501</c:v>
                </c:pt>
                <c:pt idx="1">
                  <c:v>140402.1116477591</c:v>
                </c:pt>
                <c:pt idx="2">
                  <c:v>126361.90048298318</c:v>
                </c:pt>
                <c:pt idx="3">
                  <c:v>112321.68931820728</c:v>
                </c:pt>
                <c:pt idx="4">
                  <c:v>98281.478153431366</c:v>
                </c:pt>
                <c:pt idx="5">
                  <c:v>84241.266988655465</c:v>
                </c:pt>
                <c:pt idx="6">
                  <c:v>70201.055823879549</c:v>
                </c:pt>
                <c:pt idx="7">
                  <c:v>56160.844659103641</c:v>
                </c:pt>
                <c:pt idx="8">
                  <c:v>42120.633494327732</c:v>
                </c:pt>
                <c:pt idx="9">
                  <c:v>28080.42232955182</c:v>
                </c:pt>
                <c:pt idx="10">
                  <c:v>14040.21116477591</c:v>
                </c:pt>
                <c:pt idx="11">
                  <c:v>0</c:v>
                </c:pt>
                <c:pt idx="12">
                  <c:v>-14040.21116477591</c:v>
                </c:pt>
                <c:pt idx="13">
                  <c:v>-28080.42232955182</c:v>
                </c:pt>
                <c:pt idx="14">
                  <c:v>-42120.633494327732</c:v>
                </c:pt>
                <c:pt idx="15">
                  <c:v>-56160.844659103641</c:v>
                </c:pt>
                <c:pt idx="16">
                  <c:v>-70201.055823879549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49-458C-BAFA-AB8ACD33A97D}"/>
            </c:ext>
          </c:extLst>
        </c:ser>
        <c:ser>
          <c:idx val="6"/>
          <c:order val="6"/>
          <c:tx>
            <c:strRef>
              <c:f>'Graph Calculation'!$AT$24</c:f>
              <c:strCache>
                <c:ptCount val="1"/>
                <c:pt idx="0">
                  <c:v>19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val>
            <c:numRef>
              <c:f>'Graph Calculation'!$AT$3:$AT$19</c:f>
              <c:numCache>
                <c:formatCode>0</c:formatCode>
                <c:ptCount val="17"/>
                <c:pt idx="0">
                  <c:v>263359.50967247639</c:v>
                </c:pt>
                <c:pt idx="1">
                  <c:v>239417.73606588761</c:v>
                </c:pt>
                <c:pt idx="2">
                  <c:v>215475.96245929884</c:v>
                </c:pt>
                <c:pt idx="3">
                  <c:v>191534.1888527101</c:v>
                </c:pt>
                <c:pt idx="4">
                  <c:v>167592.41524612132</c:v>
                </c:pt>
                <c:pt idx="5">
                  <c:v>143650.64163953255</c:v>
                </c:pt>
                <c:pt idx="6">
                  <c:v>119708.86803294381</c:v>
                </c:pt>
                <c:pt idx="7">
                  <c:v>95767.094426355048</c:v>
                </c:pt>
                <c:pt idx="8">
                  <c:v>71825.320819766275</c:v>
                </c:pt>
                <c:pt idx="9">
                  <c:v>47883.547213177524</c:v>
                </c:pt>
                <c:pt idx="10">
                  <c:v>23941.773606588762</c:v>
                </c:pt>
                <c:pt idx="11">
                  <c:v>0</c:v>
                </c:pt>
                <c:pt idx="12">
                  <c:v>-23941.773606588762</c:v>
                </c:pt>
                <c:pt idx="13">
                  <c:v>-47883.547213177524</c:v>
                </c:pt>
                <c:pt idx="14">
                  <c:v>-71825.320819766275</c:v>
                </c:pt>
                <c:pt idx="15">
                  <c:v>-95767.094426355048</c:v>
                </c:pt>
                <c:pt idx="16">
                  <c:v>-119708.86803294381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D49-458C-BAFA-AB8ACD33A97D}"/>
            </c:ext>
          </c:extLst>
        </c:ser>
        <c:ser>
          <c:idx val="7"/>
          <c:order val="7"/>
          <c:tx>
            <c:strRef>
              <c:f>'Graph Calculation'!$AU$24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dPt>
            <c:idx val="11"/>
            <c:bubble3D val="0"/>
            <c:spPr>
              <a:ln>
                <a:solidFill>
                  <a:sysClr val="windowText" lastClr="000000"/>
                </a:solidFill>
              </a:ln>
            </c:spPr>
            <c:extLst>
              <c:ext xmlns:c16="http://schemas.microsoft.com/office/drawing/2014/chart" uri="{C3380CC4-5D6E-409C-BE32-E72D297353CC}">
                <c16:uniqueId val="{00000008-8D49-458C-BAFA-AB8ACD33A97D}"/>
              </c:ext>
            </c:extLst>
          </c:dPt>
          <c:dLbls>
            <c:dLbl>
              <c:idx val="10"/>
              <c:layout>
                <c:manualLayout>
                  <c:x val="-9.932365638500416E-3"/>
                  <c:y val="0.8446288612263716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D49-458C-BAFA-AB8ACD33A97D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'Graph Calculation'!$AU$3:$AU$19</c:f>
              <c:numCache>
                <c:formatCode>0</c:formatCode>
                <c:ptCount val="17"/>
                <c:pt idx="0">
                  <c:v>893437.29694606806</c:v>
                </c:pt>
                <c:pt idx="1">
                  <c:v>812215.72449642548</c:v>
                </c:pt>
                <c:pt idx="2">
                  <c:v>730994.1520467829</c:v>
                </c:pt>
                <c:pt idx="3">
                  <c:v>649772.57959714043</c:v>
                </c:pt>
                <c:pt idx="4">
                  <c:v>568551.00714749785</c:v>
                </c:pt>
                <c:pt idx="5">
                  <c:v>487329.43469785526</c:v>
                </c:pt>
                <c:pt idx="6">
                  <c:v>406107.86224821274</c:v>
                </c:pt>
                <c:pt idx="7">
                  <c:v>324886.28979857021</c:v>
                </c:pt>
                <c:pt idx="8">
                  <c:v>243664.71734892763</c:v>
                </c:pt>
                <c:pt idx="9">
                  <c:v>162443.14489928511</c:v>
                </c:pt>
                <c:pt idx="10">
                  <c:v>81221.572449642554</c:v>
                </c:pt>
                <c:pt idx="11">
                  <c:v>0</c:v>
                </c:pt>
                <c:pt idx="12">
                  <c:v>-81221.572449642554</c:v>
                </c:pt>
                <c:pt idx="13">
                  <c:v>-162443.14489928511</c:v>
                </c:pt>
                <c:pt idx="14">
                  <c:v>-243664.71734892763</c:v>
                </c:pt>
                <c:pt idx="15">
                  <c:v>-324886.28979857021</c:v>
                </c:pt>
                <c:pt idx="16">
                  <c:v>-406107.86224821274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D49-458C-BAFA-AB8ACD33A97D}"/>
            </c:ext>
          </c:extLst>
        </c:ser>
        <c:ser>
          <c:idx val="8"/>
          <c:order val="8"/>
          <c:tx>
            <c:strRef>
              <c:f>'Graph Calculation'!$AV$24</c:f>
              <c:strCache>
                <c:ptCount val="1"/>
                <c:pt idx="0">
                  <c:v>23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dLbls>
            <c:dLbl>
              <c:idx val="12"/>
              <c:layout>
                <c:manualLayout>
                  <c:x val="-6.2106270743463692E-2"/>
                  <c:y val="0.48686030428769017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D49-458C-BAFA-AB8ACD33A97D}"/>
                </c:ext>
              </c:extLst>
            </c:dLbl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'Graph Calculation'!$AV$3:$AV$19</c:f>
              <c:numCache>
                <c:formatCode>0</c:formatCode>
                <c:ptCount val="17"/>
                <c:pt idx="0">
                  <c:v>-641623.89174055215</c:v>
                </c:pt>
                <c:pt idx="1">
                  <c:v>-583294.44703686563</c:v>
                </c:pt>
                <c:pt idx="2">
                  <c:v>-524965.002333179</c:v>
                </c:pt>
                <c:pt idx="3">
                  <c:v>-466635.55762949248</c:v>
                </c:pt>
                <c:pt idx="4">
                  <c:v>-408306.11292580591</c:v>
                </c:pt>
                <c:pt idx="5">
                  <c:v>-349976.66822211933</c:v>
                </c:pt>
                <c:pt idx="6">
                  <c:v>-291647.22351843282</c:v>
                </c:pt>
                <c:pt idx="7">
                  <c:v>-233317.77881474624</c:v>
                </c:pt>
                <c:pt idx="8">
                  <c:v>-174988.33411105967</c:v>
                </c:pt>
                <c:pt idx="9">
                  <c:v>-116658.88940737312</c:v>
                </c:pt>
                <c:pt idx="10">
                  <c:v>-58329.44470368656</c:v>
                </c:pt>
                <c:pt idx="11">
                  <c:v>0</c:v>
                </c:pt>
                <c:pt idx="12">
                  <c:v>58329.44470368656</c:v>
                </c:pt>
                <c:pt idx="13">
                  <c:v>116658.88940737312</c:v>
                </c:pt>
                <c:pt idx="14">
                  <c:v>174988.33411105967</c:v>
                </c:pt>
                <c:pt idx="15">
                  <c:v>233317.77881474624</c:v>
                </c:pt>
                <c:pt idx="16">
                  <c:v>291647.22351843282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D49-458C-BAFA-AB8ACD33A97D}"/>
            </c:ext>
          </c:extLst>
        </c:ser>
        <c:ser>
          <c:idx val="9"/>
          <c:order val="9"/>
          <c:tx>
            <c:strRef>
              <c:f>'Graph Calculation'!$AW$24</c:f>
              <c:strCache>
                <c:ptCount val="1"/>
                <c:pt idx="0">
                  <c:v>25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val>
            <c:numRef>
              <c:f>'Graph Calculation'!$AW$3:$AW$19</c:f>
              <c:numCache>
                <c:formatCode>0</c:formatCode>
                <c:ptCount val="17"/>
                <c:pt idx="0">
                  <c:v>-236051.50214592289</c:v>
                </c:pt>
                <c:pt idx="1">
                  <c:v>-214592.27467811172</c:v>
                </c:pt>
                <c:pt idx="2">
                  <c:v>-193133.04721030054</c:v>
                </c:pt>
                <c:pt idx="3">
                  <c:v>-171673.81974248937</c:v>
                </c:pt>
                <c:pt idx="4">
                  <c:v>-150214.5922746782</c:v>
                </c:pt>
                <c:pt idx="5">
                  <c:v>-128755.36480686702</c:v>
                </c:pt>
                <c:pt idx="6">
                  <c:v>-107296.13733905586</c:v>
                </c:pt>
                <c:pt idx="7">
                  <c:v>-85836.909871244687</c:v>
                </c:pt>
                <c:pt idx="8">
                  <c:v>-64377.682403433508</c:v>
                </c:pt>
                <c:pt idx="9">
                  <c:v>-42918.454935622343</c:v>
                </c:pt>
                <c:pt idx="10">
                  <c:v>-21459.227467811172</c:v>
                </c:pt>
                <c:pt idx="11">
                  <c:v>0</c:v>
                </c:pt>
                <c:pt idx="12">
                  <c:v>21459.227467811172</c:v>
                </c:pt>
                <c:pt idx="13">
                  <c:v>42918.454935622343</c:v>
                </c:pt>
                <c:pt idx="14">
                  <c:v>64377.682403433508</c:v>
                </c:pt>
                <c:pt idx="15">
                  <c:v>85836.909871244687</c:v>
                </c:pt>
                <c:pt idx="16">
                  <c:v>107296.13733905586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49-458C-BAFA-AB8ACD33A97D}"/>
            </c:ext>
          </c:extLst>
        </c:ser>
        <c:ser>
          <c:idx val="10"/>
          <c:order val="10"/>
          <c:tx>
            <c:strRef>
              <c:f>'Graph Calculation'!$AX$24</c:f>
              <c:strCache>
                <c:ptCount val="1"/>
                <c:pt idx="0">
                  <c:v>27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val>
            <c:numRef>
              <c:f>'Graph Calculation'!$AX$3:$AX$19</c:f>
              <c:numCache>
                <c:formatCode>0</c:formatCode>
                <c:ptCount val="17"/>
                <c:pt idx="0">
                  <c:v>-144630.27243084053</c:v>
                </c:pt>
                <c:pt idx="1">
                  <c:v>-131482.06584621867</c:v>
                </c:pt>
                <c:pt idx="2">
                  <c:v>-118333.85926159681</c:v>
                </c:pt>
                <c:pt idx="3">
                  <c:v>-105185.65267697493</c:v>
                </c:pt>
                <c:pt idx="4">
                  <c:v>-92037.446092353071</c:v>
                </c:pt>
                <c:pt idx="5">
                  <c:v>-78889.239507731196</c:v>
                </c:pt>
                <c:pt idx="6">
                  <c:v>-65741.032923109335</c:v>
                </c:pt>
                <c:pt idx="7">
                  <c:v>-52592.826338487466</c:v>
                </c:pt>
                <c:pt idx="8">
                  <c:v>-39444.619753865598</c:v>
                </c:pt>
                <c:pt idx="9">
                  <c:v>-26296.413169243733</c:v>
                </c:pt>
                <c:pt idx="10">
                  <c:v>-13148.206584621867</c:v>
                </c:pt>
                <c:pt idx="11">
                  <c:v>0</c:v>
                </c:pt>
                <c:pt idx="12">
                  <c:v>13148.206584621867</c:v>
                </c:pt>
                <c:pt idx="13">
                  <c:v>26296.413169243733</c:v>
                </c:pt>
                <c:pt idx="14">
                  <c:v>39444.619753865598</c:v>
                </c:pt>
                <c:pt idx="15">
                  <c:v>52592.826338487466</c:v>
                </c:pt>
                <c:pt idx="16">
                  <c:v>65741.032923109335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D49-458C-BAFA-AB8ACD33A97D}"/>
            </c:ext>
          </c:extLst>
        </c:ser>
        <c:ser>
          <c:idx val="11"/>
          <c:order val="11"/>
          <c:tx>
            <c:strRef>
              <c:f>'Graph Calculation'!$AY$24</c:f>
              <c:strCache>
                <c:ptCount val="1"/>
                <c:pt idx="0">
                  <c:v>29</c:v>
                </c:pt>
              </c:strCache>
            </c:strRef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val>
            <c:numRef>
              <c:f>'Graph Calculation'!$AY$3:$AY$19</c:f>
              <c:numCache>
                <c:formatCode>0</c:formatCode>
                <c:ptCount val="17"/>
                <c:pt idx="0">
                  <c:v>-104253.54462051713</c:v>
                </c:pt>
                <c:pt idx="1">
                  <c:v>-94775.949655015575</c:v>
                </c:pt>
                <c:pt idx="2">
                  <c:v>-85298.354689514017</c:v>
                </c:pt>
                <c:pt idx="3">
                  <c:v>-75820.75972401246</c:v>
                </c:pt>
                <c:pt idx="4">
                  <c:v>-66343.164758510902</c:v>
                </c:pt>
                <c:pt idx="5">
                  <c:v>-56865.569793009345</c:v>
                </c:pt>
                <c:pt idx="6">
                  <c:v>-47387.974827507787</c:v>
                </c:pt>
                <c:pt idx="7">
                  <c:v>-37910.37986200623</c:v>
                </c:pt>
                <c:pt idx="8">
                  <c:v>-28432.784896504672</c:v>
                </c:pt>
                <c:pt idx="9">
                  <c:v>-18955.189931003115</c:v>
                </c:pt>
                <c:pt idx="10">
                  <c:v>-9477.5949655015575</c:v>
                </c:pt>
                <c:pt idx="11">
                  <c:v>0</c:v>
                </c:pt>
                <c:pt idx="12">
                  <c:v>9477.5949655015575</c:v>
                </c:pt>
                <c:pt idx="13">
                  <c:v>18955.189931003115</c:v>
                </c:pt>
                <c:pt idx="14">
                  <c:v>28432.784896504672</c:v>
                </c:pt>
                <c:pt idx="15">
                  <c:v>37910.37986200623</c:v>
                </c:pt>
                <c:pt idx="16">
                  <c:v>47387.974827507787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49-458C-BAFA-AB8ACD33A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558536"/>
        <c:axId val="474635080"/>
      </c:lineChart>
      <c:catAx>
        <c:axId val="47755853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out"/>
        <c:tickLblPos val="low"/>
        <c:crossAx val="474635080"/>
        <c:crosses val="autoZero"/>
        <c:auto val="1"/>
        <c:lblAlgn val="ctr"/>
        <c:lblOffset val="100"/>
        <c:tickLblSkip val="1"/>
        <c:noMultiLvlLbl val="0"/>
      </c:catAx>
      <c:valAx>
        <c:axId val="474635080"/>
        <c:scaling>
          <c:orientation val="minMax"/>
          <c:max val="55000"/>
          <c:min val="2500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77558536"/>
        <c:crosses val="autoZero"/>
        <c:crossBetween val="midCat"/>
        <c:majorUnit val="1000"/>
        <c:minorUnit val="500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 paperSize="9" orientation="landscape" horizontalDpi="300"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'Graph Calculation'!$AN$24</c:f>
              <c:strCache>
                <c:ptCount val="1"/>
                <c:pt idx="0">
                  <c:v>7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'Graph Calculation'!$AM$2:$AM$19</c:f>
              <c:numCache>
                <c:formatCode>General</c:formatCode>
                <c:ptCount val="1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</c:numCache>
            </c:numRef>
          </c:xVal>
          <c:yVal>
            <c:numRef>
              <c:f>'Graph Calculation'!$AN$2:$AN$19</c:f>
              <c:numCache>
                <c:formatCode>0</c:formatCode>
                <c:ptCount val="18"/>
                <c:pt idx="0">
                  <c:v>54918.903086442348</c:v>
                </c:pt>
                <c:pt idx="1">
                  <c:v>50342.327829238813</c:v>
                </c:pt>
                <c:pt idx="2">
                  <c:v>45765.752572035286</c:v>
                </c:pt>
                <c:pt idx="3">
                  <c:v>41189.177314831759</c:v>
                </c:pt>
                <c:pt idx="4">
                  <c:v>36612.602057628232</c:v>
                </c:pt>
                <c:pt idx="5">
                  <c:v>32036.026800424701</c:v>
                </c:pt>
                <c:pt idx="6">
                  <c:v>27459.451543221174</c:v>
                </c:pt>
                <c:pt idx="7">
                  <c:v>22882.876286017643</c:v>
                </c:pt>
                <c:pt idx="8">
                  <c:v>18306.301028814116</c:v>
                </c:pt>
                <c:pt idx="9">
                  <c:v>13729.725771610587</c:v>
                </c:pt>
                <c:pt idx="10">
                  <c:v>9153.1505144070579</c:v>
                </c:pt>
                <c:pt idx="11">
                  <c:v>4576.575257203529</c:v>
                </c:pt>
                <c:pt idx="12">
                  <c:v>0</c:v>
                </c:pt>
                <c:pt idx="13">
                  <c:v>-4576.575257203529</c:v>
                </c:pt>
                <c:pt idx="14">
                  <c:v>-9153.1505144070579</c:v>
                </c:pt>
                <c:pt idx="15">
                  <c:v>-13729.725771610587</c:v>
                </c:pt>
                <c:pt idx="16">
                  <c:v>-18306.301028814116</c:v>
                </c:pt>
                <c:pt idx="17">
                  <c:v>-22882.876286017643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12-4A75-89B1-5139CCF44730}"/>
            </c:ext>
          </c:extLst>
        </c:ser>
        <c:ser>
          <c:idx val="5"/>
          <c:order val="1"/>
          <c:tx>
            <c:strRef>
              <c:f>'Graph Calculation'!$AO$24</c:f>
              <c:strCache>
                <c:ptCount val="1"/>
                <c:pt idx="0">
                  <c:v>9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'Graph Calculation'!$AM$2:$AM$19</c:f>
              <c:numCache>
                <c:formatCode>General</c:formatCode>
                <c:ptCount val="1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</c:numCache>
            </c:numRef>
          </c:xVal>
          <c:yVal>
            <c:numRef>
              <c:f>'Graph Calculation'!$AO$2:$AO$19</c:f>
              <c:numCache>
                <c:formatCode>0</c:formatCode>
                <c:ptCount val="18"/>
                <c:pt idx="0">
                  <c:v>63475.942617747867</c:v>
                </c:pt>
                <c:pt idx="1">
                  <c:v>58186.280732935549</c:v>
                </c:pt>
                <c:pt idx="2">
                  <c:v>52896.618848123224</c:v>
                </c:pt>
                <c:pt idx="3">
                  <c:v>47606.956963310899</c:v>
                </c:pt>
                <c:pt idx="4">
                  <c:v>42317.295078498581</c:v>
                </c:pt>
                <c:pt idx="5">
                  <c:v>37027.633193686255</c:v>
                </c:pt>
                <c:pt idx="6">
                  <c:v>31737.971308873934</c:v>
                </c:pt>
                <c:pt idx="7">
                  <c:v>26448.309424061612</c:v>
                </c:pt>
                <c:pt idx="8">
                  <c:v>21158.64753924929</c:v>
                </c:pt>
                <c:pt idx="9">
                  <c:v>15868.985654436967</c:v>
                </c:pt>
                <c:pt idx="10">
                  <c:v>10579.323769624645</c:v>
                </c:pt>
                <c:pt idx="11">
                  <c:v>5289.6618848123226</c:v>
                </c:pt>
                <c:pt idx="12">
                  <c:v>0</c:v>
                </c:pt>
                <c:pt idx="13">
                  <c:v>-5289.6618848123226</c:v>
                </c:pt>
                <c:pt idx="14">
                  <c:v>-10579.323769624645</c:v>
                </c:pt>
                <c:pt idx="15">
                  <c:v>-15868.985654436967</c:v>
                </c:pt>
                <c:pt idx="16">
                  <c:v>-21158.64753924929</c:v>
                </c:pt>
                <c:pt idx="17">
                  <c:v>-26448.309424061612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12-4A75-89B1-5139CCF44730}"/>
            </c:ext>
          </c:extLst>
        </c:ser>
        <c:ser>
          <c:idx val="6"/>
          <c:order val="2"/>
          <c:tx>
            <c:strRef>
              <c:f>'Graph Calculation'!$AP$24</c:f>
              <c:strCache>
                <c:ptCount val="1"/>
                <c:pt idx="0">
                  <c:v>11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2-7712-4A75-89B1-5139CCF44730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3-7712-4A75-89B1-5139CCF44730}"/>
              </c:ext>
            </c:extLst>
          </c:dPt>
          <c:xVal>
            <c:numRef>
              <c:f>'Graph Calculation'!$AM$2:$AM$19</c:f>
              <c:numCache>
                <c:formatCode>General</c:formatCode>
                <c:ptCount val="1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</c:numCache>
            </c:numRef>
          </c:xVal>
          <c:yVal>
            <c:numRef>
              <c:f>'Graph Calculation'!$AP$2:$AP$19</c:f>
              <c:numCache>
                <c:formatCode>0</c:formatCode>
                <c:ptCount val="18"/>
                <c:pt idx="0">
                  <c:v>75191.738934282403</c:v>
                </c:pt>
                <c:pt idx="1">
                  <c:v>68925.76068975887</c:v>
                </c:pt>
                <c:pt idx="2">
                  <c:v>62659.782445235338</c:v>
                </c:pt>
                <c:pt idx="3">
                  <c:v>56393.804200711806</c:v>
                </c:pt>
                <c:pt idx="4">
                  <c:v>50127.825956188273</c:v>
                </c:pt>
                <c:pt idx="5">
                  <c:v>43861.847711664741</c:v>
                </c:pt>
                <c:pt idx="6">
                  <c:v>37595.869467141201</c:v>
                </c:pt>
                <c:pt idx="7">
                  <c:v>31329.891222617669</c:v>
                </c:pt>
                <c:pt idx="8">
                  <c:v>25063.912978094137</c:v>
                </c:pt>
                <c:pt idx="9">
                  <c:v>18797.934733570601</c:v>
                </c:pt>
                <c:pt idx="10">
                  <c:v>12531.956489047068</c:v>
                </c:pt>
                <c:pt idx="11">
                  <c:v>6265.9782445235342</c:v>
                </c:pt>
                <c:pt idx="12">
                  <c:v>0</c:v>
                </c:pt>
                <c:pt idx="13">
                  <c:v>-6265.9782445235342</c:v>
                </c:pt>
                <c:pt idx="14">
                  <c:v>-12531.956489047068</c:v>
                </c:pt>
                <c:pt idx="15">
                  <c:v>-18797.934733570601</c:v>
                </c:pt>
                <c:pt idx="16">
                  <c:v>-25063.912978094137</c:v>
                </c:pt>
                <c:pt idx="17">
                  <c:v>-31329.891222617669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712-4A75-89B1-5139CCF44730}"/>
            </c:ext>
          </c:extLst>
        </c:ser>
        <c:ser>
          <c:idx val="7"/>
          <c:order val="3"/>
          <c:tx>
            <c:strRef>
              <c:f>'Graph Calculation'!$AQ$24</c:f>
              <c:strCache>
                <c:ptCount val="1"/>
                <c:pt idx="0">
                  <c:v>13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'Graph Calculation'!$AM$2:$AM$19</c:f>
              <c:numCache>
                <c:formatCode>General</c:formatCode>
                <c:ptCount val="1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</c:numCache>
            </c:numRef>
          </c:xVal>
          <c:yVal>
            <c:numRef>
              <c:f>'Graph Calculation'!$AQ$2:$AQ$19</c:f>
              <c:numCache>
                <c:formatCode>0</c:formatCode>
                <c:ptCount val="18"/>
                <c:pt idx="0">
                  <c:v>92211.225179811867</c:v>
                </c:pt>
                <c:pt idx="1">
                  <c:v>84526.956414827553</c:v>
                </c:pt>
                <c:pt idx="2">
                  <c:v>76842.687649843225</c:v>
                </c:pt>
                <c:pt idx="3">
                  <c:v>69158.418884858896</c:v>
                </c:pt>
                <c:pt idx="4">
                  <c:v>61474.150119874575</c:v>
                </c:pt>
                <c:pt idx="5">
                  <c:v>53789.881354890254</c:v>
                </c:pt>
                <c:pt idx="6">
                  <c:v>46105.612589905933</c:v>
                </c:pt>
                <c:pt idx="7">
                  <c:v>38421.343824921612</c:v>
                </c:pt>
                <c:pt idx="8">
                  <c:v>30737.075059937288</c:v>
                </c:pt>
                <c:pt idx="9">
                  <c:v>23052.806294952967</c:v>
                </c:pt>
                <c:pt idx="10">
                  <c:v>15368.537529968644</c:v>
                </c:pt>
                <c:pt idx="11">
                  <c:v>7684.2687649843219</c:v>
                </c:pt>
                <c:pt idx="12">
                  <c:v>0</c:v>
                </c:pt>
                <c:pt idx="13">
                  <c:v>-7684.2687649843219</c:v>
                </c:pt>
                <c:pt idx="14">
                  <c:v>-15368.537529968644</c:v>
                </c:pt>
                <c:pt idx="15">
                  <c:v>-23052.806294952967</c:v>
                </c:pt>
                <c:pt idx="16">
                  <c:v>-30737.075059937288</c:v>
                </c:pt>
                <c:pt idx="17">
                  <c:v>-38421.343824921612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712-4A75-89B1-5139CCF44730}"/>
            </c:ext>
          </c:extLst>
        </c:ser>
        <c:ser>
          <c:idx val="8"/>
          <c:order val="4"/>
          <c:tx>
            <c:strRef>
              <c:f>'Graph Calculation'!$AR$24</c:f>
              <c:strCache>
                <c:ptCount val="1"/>
                <c:pt idx="0">
                  <c:v>15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'Graph Calculation'!$AM$2:$AM$19</c:f>
              <c:numCache>
                <c:formatCode>General</c:formatCode>
                <c:ptCount val="1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</c:numCache>
            </c:numRef>
          </c:xVal>
          <c:yVal>
            <c:numRef>
              <c:f>'Graph Calculation'!$AR$2:$AR$19</c:f>
              <c:numCache>
                <c:formatCode>0</c:formatCode>
                <c:ptCount val="18"/>
                <c:pt idx="0">
                  <c:v>119189.51132300356</c:v>
                </c:pt>
                <c:pt idx="1">
                  <c:v>109257.0520460866</c:v>
                </c:pt>
                <c:pt idx="2">
                  <c:v>99324.592769169627</c:v>
                </c:pt>
                <c:pt idx="3">
                  <c:v>89392.133492252673</c:v>
                </c:pt>
                <c:pt idx="4">
                  <c:v>79459.674215335705</c:v>
                </c:pt>
                <c:pt idx="5">
                  <c:v>69527.214938418736</c:v>
                </c:pt>
                <c:pt idx="6">
                  <c:v>59594.755661501782</c:v>
                </c:pt>
                <c:pt idx="7">
                  <c:v>49662.296384584813</c:v>
                </c:pt>
                <c:pt idx="8">
                  <c:v>39729.837107667852</c:v>
                </c:pt>
                <c:pt idx="9">
                  <c:v>29797.377830750891</c:v>
                </c:pt>
                <c:pt idx="10">
                  <c:v>19864.918553833926</c:v>
                </c:pt>
                <c:pt idx="11">
                  <c:v>9932.4592769169631</c:v>
                </c:pt>
                <c:pt idx="12">
                  <c:v>0</c:v>
                </c:pt>
                <c:pt idx="13">
                  <c:v>-9932.4592769169631</c:v>
                </c:pt>
                <c:pt idx="14">
                  <c:v>-19864.918553833926</c:v>
                </c:pt>
                <c:pt idx="15">
                  <c:v>-29797.377830750891</c:v>
                </c:pt>
                <c:pt idx="16">
                  <c:v>-39729.837107667852</c:v>
                </c:pt>
                <c:pt idx="17">
                  <c:v>-49662.296384584813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712-4A75-89B1-5139CCF44730}"/>
            </c:ext>
          </c:extLst>
        </c:ser>
        <c:ser>
          <c:idx val="9"/>
          <c:order val="5"/>
          <c:tx>
            <c:strRef>
              <c:f>'Graph Calculation'!$AS$24</c:f>
              <c:strCache>
                <c:ptCount val="1"/>
                <c:pt idx="0">
                  <c:v>17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'Graph Calculation'!$AM$2:$AM$19</c:f>
              <c:numCache>
                <c:formatCode>General</c:formatCode>
                <c:ptCount val="1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</c:numCache>
            </c:numRef>
          </c:xVal>
          <c:yVal>
            <c:numRef>
              <c:f>'Graph Calculation'!$AS$2:$AS$19</c:f>
              <c:numCache>
                <c:formatCode>0</c:formatCode>
                <c:ptCount val="18"/>
                <c:pt idx="0">
                  <c:v>168482.53397731093</c:v>
                </c:pt>
                <c:pt idx="1">
                  <c:v>154442.32281253501</c:v>
                </c:pt>
                <c:pt idx="2">
                  <c:v>140402.1116477591</c:v>
                </c:pt>
                <c:pt idx="3">
                  <c:v>126361.90048298318</c:v>
                </c:pt>
                <c:pt idx="4">
                  <c:v>112321.68931820728</c:v>
                </c:pt>
                <c:pt idx="5">
                  <c:v>98281.478153431366</c:v>
                </c:pt>
                <c:pt idx="6">
                  <c:v>84241.266988655465</c:v>
                </c:pt>
                <c:pt idx="7">
                  <c:v>70201.055823879549</c:v>
                </c:pt>
                <c:pt idx="8">
                  <c:v>56160.844659103641</c:v>
                </c:pt>
                <c:pt idx="9">
                  <c:v>42120.633494327732</c:v>
                </c:pt>
                <c:pt idx="10">
                  <c:v>28080.42232955182</c:v>
                </c:pt>
                <c:pt idx="11">
                  <c:v>14040.21116477591</c:v>
                </c:pt>
                <c:pt idx="12">
                  <c:v>0</c:v>
                </c:pt>
                <c:pt idx="13">
                  <c:v>-14040.21116477591</c:v>
                </c:pt>
                <c:pt idx="14">
                  <c:v>-28080.42232955182</c:v>
                </c:pt>
                <c:pt idx="15">
                  <c:v>-42120.633494327732</c:v>
                </c:pt>
                <c:pt idx="16">
                  <c:v>-56160.844659103641</c:v>
                </c:pt>
                <c:pt idx="17">
                  <c:v>-70201.055823879549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712-4A75-89B1-5139CCF44730}"/>
            </c:ext>
          </c:extLst>
        </c:ser>
        <c:ser>
          <c:idx val="10"/>
          <c:order val="6"/>
          <c:tx>
            <c:strRef>
              <c:f>'Graph Calculation'!$AT$24</c:f>
              <c:strCache>
                <c:ptCount val="1"/>
                <c:pt idx="0">
                  <c:v>19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'Graph Calculation'!$AM$2:$AM$19</c:f>
              <c:numCache>
                <c:formatCode>General</c:formatCode>
                <c:ptCount val="1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</c:numCache>
            </c:numRef>
          </c:xVal>
          <c:yVal>
            <c:numRef>
              <c:f>'Graph Calculation'!$AT$2:$AT$19</c:f>
              <c:numCache>
                <c:formatCode>0</c:formatCode>
                <c:ptCount val="18"/>
                <c:pt idx="0">
                  <c:v>287301.2832790651</c:v>
                </c:pt>
                <c:pt idx="1">
                  <c:v>263359.50967247639</c:v>
                </c:pt>
                <c:pt idx="2">
                  <c:v>239417.73606588761</c:v>
                </c:pt>
                <c:pt idx="3">
                  <c:v>215475.96245929884</c:v>
                </c:pt>
                <c:pt idx="4">
                  <c:v>191534.1888527101</c:v>
                </c:pt>
                <c:pt idx="5">
                  <c:v>167592.41524612132</c:v>
                </c:pt>
                <c:pt idx="6">
                  <c:v>143650.64163953255</c:v>
                </c:pt>
                <c:pt idx="7">
                  <c:v>119708.86803294381</c:v>
                </c:pt>
                <c:pt idx="8">
                  <c:v>95767.094426355048</c:v>
                </c:pt>
                <c:pt idx="9">
                  <c:v>71825.320819766275</c:v>
                </c:pt>
                <c:pt idx="10">
                  <c:v>47883.547213177524</c:v>
                </c:pt>
                <c:pt idx="11">
                  <c:v>23941.773606588762</c:v>
                </c:pt>
                <c:pt idx="12">
                  <c:v>0</c:v>
                </c:pt>
                <c:pt idx="13">
                  <c:v>-23941.773606588762</c:v>
                </c:pt>
                <c:pt idx="14">
                  <c:v>-47883.547213177524</c:v>
                </c:pt>
                <c:pt idx="15">
                  <c:v>-71825.320819766275</c:v>
                </c:pt>
                <c:pt idx="16">
                  <c:v>-95767.094426355048</c:v>
                </c:pt>
                <c:pt idx="17">
                  <c:v>-119708.86803294381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712-4A75-89B1-5139CCF44730}"/>
            </c:ext>
          </c:extLst>
        </c:ser>
        <c:ser>
          <c:idx val="11"/>
          <c:order val="7"/>
          <c:tx>
            <c:strRef>
              <c:f>'Graph Calculation'!$AU$24</c:f>
              <c:strCache>
                <c:ptCount val="1"/>
                <c:pt idx="0">
                  <c:v>21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pPr>
              <a:ln>
                <a:solidFill>
                  <a:schemeClr val="bg1">
                    <a:lumMod val="50000"/>
                  </a:schemeClr>
                </a:solidFill>
              </a:ln>
            </c:spPr>
          </c:marker>
          <c:dPt>
            <c:idx val="1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9-7712-4A75-89B1-5139CCF44730}"/>
              </c:ext>
            </c:extLst>
          </c:dPt>
          <c:xVal>
            <c:numRef>
              <c:f>'Graph Calculation'!$AM$2:$AM$19</c:f>
              <c:numCache>
                <c:formatCode>General</c:formatCode>
                <c:ptCount val="1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</c:numCache>
            </c:numRef>
          </c:xVal>
          <c:yVal>
            <c:numRef>
              <c:f>'Graph Calculation'!$AU$2:$AU$19</c:f>
              <c:numCache>
                <c:formatCode>0</c:formatCode>
                <c:ptCount val="18"/>
                <c:pt idx="0">
                  <c:v>974658.86939571053</c:v>
                </c:pt>
                <c:pt idx="1">
                  <c:v>893437.29694606806</c:v>
                </c:pt>
                <c:pt idx="2">
                  <c:v>812215.72449642548</c:v>
                </c:pt>
                <c:pt idx="3">
                  <c:v>730994.1520467829</c:v>
                </c:pt>
                <c:pt idx="4">
                  <c:v>649772.57959714043</c:v>
                </c:pt>
                <c:pt idx="5">
                  <c:v>568551.00714749785</c:v>
                </c:pt>
                <c:pt idx="6">
                  <c:v>487329.43469785526</c:v>
                </c:pt>
                <c:pt idx="7">
                  <c:v>406107.86224821274</c:v>
                </c:pt>
                <c:pt idx="8">
                  <c:v>324886.28979857021</c:v>
                </c:pt>
                <c:pt idx="9">
                  <c:v>243664.71734892763</c:v>
                </c:pt>
                <c:pt idx="10">
                  <c:v>162443.14489928511</c:v>
                </c:pt>
                <c:pt idx="11">
                  <c:v>81221.572449642554</c:v>
                </c:pt>
                <c:pt idx="12">
                  <c:v>0</c:v>
                </c:pt>
                <c:pt idx="13">
                  <c:v>-81221.572449642554</c:v>
                </c:pt>
                <c:pt idx="14">
                  <c:v>-162443.14489928511</c:v>
                </c:pt>
                <c:pt idx="15">
                  <c:v>-243664.71734892763</c:v>
                </c:pt>
                <c:pt idx="16">
                  <c:v>-324886.28979857021</c:v>
                </c:pt>
                <c:pt idx="17">
                  <c:v>-406107.86224821274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712-4A75-89B1-5139CCF44730}"/>
            </c:ext>
          </c:extLst>
        </c:ser>
        <c:ser>
          <c:idx val="12"/>
          <c:order val="8"/>
          <c:tx>
            <c:strRef>
              <c:f>'Graph Calculation'!$AV$24</c:f>
              <c:strCache>
                <c:ptCount val="1"/>
                <c:pt idx="0">
                  <c:v>23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'Graph Calculation'!$AM$2:$AM$19</c:f>
              <c:numCache>
                <c:formatCode>General</c:formatCode>
                <c:ptCount val="1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</c:numCache>
            </c:numRef>
          </c:xVal>
          <c:yVal>
            <c:numRef>
              <c:f>'Graph Calculation'!$AV$2:$AV$19</c:f>
              <c:numCache>
                <c:formatCode>0</c:formatCode>
                <c:ptCount val="18"/>
                <c:pt idx="0">
                  <c:v>-699953.33644423867</c:v>
                </c:pt>
                <c:pt idx="1">
                  <c:v>-641623.89174055215</c:v>
                </c:pt>
                <c:pt idx="2">
                  <c:v>-583294.44703686563</c:v>
                </c:pt>
                <c:pt idx="3">
                  <c:v>-524965.002333179</c:v>
                </c:pt>
                <c:pt idx="4">
                  <c:v>-466635.55762949248</c:v>
                </c:pt>
                <c:pt idx="5">
                  <c:v>-408306.11292580591</c:v>
                </c:pt>
                <c:pt idx="6">
                  <c:v>-349976.66822211933</c:v>
                </c:pt>
                <c:pt idx="7">
                  <c:v>-291647.22351843282</c:v>
                </c:pt>
                <c:pt idx="8">
                  <c:v>-233317.77881474624</c:v>
                </c:pt>
                <c:pt idx="9">
                  <c:v>-174988.33411105967</c:v>
                </c:pt>
                <c:pt idx="10">
                  <c:v>-116658.88940737312</c:v>
                </c:pt>
                <c:pt idx="11">
                  <c:v>-58329.44470368656</c:v>
                </c:pt>
                <c:pt idx="12">
                  <c:v>0</c:v>
                </c:pt>
                <c:pt idx="13">
                  <c:v>58329.44470368656</c:v>
                </c:pt>
                <c:pt idx="14">
                  <c:v>116658.88940737312</c:v>
                </c:pt>
                <c:pt idx="15">
                  <c:v>174988.33411105967</c:v>
                </c:pt>
                <c:pt idx="16">
                  <c:v>233317.77881474624</c:v>
                </c:pt>
                <c:pt idx="17">
                  <c:v>291647.22351843282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712-4A75-89B1-5139CCF44730}"/>
            </c:ext>
          </c:extLst>
        </c:ser>
        <c:ser>
          <c:idx val="13"/>
          <c:order val="9"/>
          <c:tx>
            <c:strRef>
              <c:f>'Graph Calculation'!$AW$24</c:f>
              <c:strCache>
                <c:ptCount val="1"/>
                <c:pt idx="0">
                  <c:v>25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pPr>
              <a:ln>
                <a:solidFill>
                  <a:schemeClr val="bg1">
                    <a:lumMod val="50000"/>
                  </a:schemeClr>
                </a:solidFill>
              </a:ln>
            </c:spPr>
          </c:marker>
          <c:dPt>
            <c:idx val="1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C-7712-4A75-89B1-5139CCF44730}"/>
              </c:ext>
            </c:extLst>
          </c:dPt>
          <c:dPt>
            <c:idx val="15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D-7712-4A75-89B1-5139CCF44730}"/>
              </c:ext>
            </c:extLst>
          </c:dPt>
          <c:xVal>
            <c:numRef>
              <c:f>'Graph Calculation'!$AM$2:$AM$19</c:f>
              <c:numCache>
                <c:formatCode>General</c:formatCode>
                <c:ptCount val="1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</c:numCache>
            </c:numRef>
          </c:xVal>
          <c:yVal>
            <c:numRef>
              <c:f>'Graph Calculation'!$AW$2:$AW$19</c:f>
              <c:numCache>
                <c:formatCode>0</c:formatCode>
                <c:ptCount val="18"/>
                <c:pt idx="0">
                  <c:v>-257510.72961373403</c:v>
                </c:pt>
                <c:pt idx="1">
                  <c:v>-236051.50214592289</c:v>
                </c:pt>
                <c:pt idx="2">
                  <c:v>-214592.27467811172</c:v>
                </c:pt>
                <c:pt idx="3">
                  <c:v>-193133.04721030054</c:v>
                </c:pt>
                <c:pt idx="4">
                  <c:v>-171673.81974248937</c:v>
                </c:pt>
                <c:pt idx="5">
                  <c:v>-150214.5922746782</c:v>
                </c:pt>
                <c:pt idx="6">
                  <c:v>-128755.36480686702</c:v>
                </c:pt>
                <c:pt idx="7">
                  <c:v>-107296.13733905586</c:v>
                </c:pt>
                <c:pt idx="8">
                  <c:v>-85836.909871244687</c:v>
                </c:pt>
                <c:pt idx="9">
                  <c:v>-64377.682403433508</c:v>
                </c:pt>
                <c:pt idx="10">
                  <c:v>-42918.454935622343</c:v>
                </c:pt>
                <c:pt idx="11">
                  <c:v>-21459.227467811172</c:v>
                </c:pt>
                <c:pt idx="12">
                  <c:v>0</c:v>
                </c:pt>
                <c:pt idx="13">
                  <c:v>21459.227467811172</c:v>
                </c:pt>
                <c:pt idx="14">
                  <c:v>42918.454935622343</c:v>
                </c:pt>
                <c:pt idx="15">
                  <c:v>64377.682403433508</c:v>
                </c:pt>
                <c:pt idx="16">
                  <c:v>85836.909871244687</c:v>
                </c:pt>
                <c:pt idx="17">
                  <c:v>107296.13733905586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712-4A75-89B1-5139CCF44730}"/>
            </c:ext>
          </c:extLst>
        </c:ser>
        <c:ser>
          <c:idx val="14"/>
          <c:order val="10"/>
          <c:tx>
            <c:strRef>
              <c:f>'Graph Calculation'!$AX$24</c:f>
              <c:strCache>
                <c:ptCount val="1"/>
                <c:pt idx="0">
                  <c:v>27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'Graph Calculation'!$AM$2:$AM$19</c:f>
              <c:numCache>
                <c:formatCode>General</c:formatCode>
                <c:ptCount val="18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</c:numCache>
            </c:numRef>
          </c:xVal>
          <c:yVal>
            <c:numRef>
              <c:f>'Graph Calculation'!$AX$2:$AX$19</c:f>
              <c:numCache>
                <c:formatCode>0</c:formatCode>
                <c:ptCount val="18"/>
                <c:pt idx="0">
                  <c:v>-157778.47901546239</c:v>
                </c:pt>
                <c:pt idx="1">
                  <c:v>-144630.27243084053</c:v>
                </c:pt>
                <c:pt idx="2">
                  <c:v>-131482.06584621867</c:v>
                </c:pt>
                <c:pt idx="3">
                  <c:v>-118333.85926159681</c:v>
                </c:pt>
                <c:pt idx="4">
                  <c:v>-105185.65267697493</c:v>
                </c:pt>
                <c:pt idx="5">
                  <c:v>-92037.446092353071</c:v>
                </c:pt>
                <c:pt idx="6">
                  <c:v>-78889.239507731196</c:v>
                </c:pt>
                <c:pt idx="7">
                  <c:v>-65741.032923109335</c:v>
                </c:pt>
                <c:pt idx="8">
                  <c:v>-52592.826338487466</c:v>
                </c:pt>
                <c:pt idx="9">
                  <c:v>-39444.619753865598</c:v>
                </c:pt>
                <c:pt idx="10">
                  <c:v>-26296.413169243733</c:v>
                </c:pt>
                <c:pt idx="11">
                  <c:v>-13148.206584621867</c:v>
                </c:pt>
                <c:pt idx="12">
                  <c:v>0</c:v>
                </c:pt>
                <c:pt idx="13">
                  <c:v>13148.206584621867</c:v>
                </c:pt>
                <c:pt idx="14">
                  <c:v>26296.413169243733</c:v>
                </c:pt>
                <c:pt idx="15">
                  <c:v>39444.619753865598</c:v>
                </c:pt>
                <c:pt idx="16">
                  <c:v>52592.826338487466</c:v>
                </c:pt>
                <c:pt idx="17">
                  <c:v>65741.032923109335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712-4A75-89B1-5139CCF44730}"/>
            </c:ext>
          </c:extLst>
        </c:ser>
        <c:ser>
          <c:idx val="15"/>
          <c:order val="11"/>
          <c:tx>
            <c:strRef>
              <c:f>'Graph Calculation'!$AY$24</c:f>
              <c:strCache>
                <c:ptCount val="1"/>
                <c:pt idx="0">
                  <c:v>29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'Graph Calculation'!$AM$2:$AM$21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100</c:v>
                </c:pt>
                <c:pt idx="19">
                  <c:v>120</c:v>
                </c:pt>
              </c:numCache>
            </c:numRef>
          </c:xVal>
          <c:yVal>
            <c:numRef>
              <c:f>'Graph Calculation'!$AY$2:$AY$21</c:f>
              <c:numCache>
                <c:formatCode>0</c:formatCode>
                <c:ptCount val="20"/>
                <c:pt idx="0">
                  <c:v>-113731.13958601869</c:v>
                </c:pt>
                <c:pt idx="1">
                  <c:v>-104253.54462051713</c:v>
                </c:pt>
                <c:pt idx="2">
                  <c:v>-94775.949655015575</c:v>
                </c:pt>
                <c:pt idx="3">
                  <c:v>-85298.354689514017</c:v>
                </c:pt>
                <c:pt idx="4">
                  <c:v>-75820.75972401246</c:v>
                </c:pt>
                <c:pt idx="5">
                  <c:v>-66343.164758510902</c:v>
                </c:pt>
                <c:pt idx="6">
                  <c:v>-56865.569793009345</c:v>
                </c:pt>
                <c:pt idx="7">
                  <c:v>-47387.974827507787</c:v>
                </c:pt>
                <c:pt idx="8">
                  <c:v>-37910.37986200623</c:v>
                </c:pt>
                <c:pt idx="9">
                  <c:v>-28432.784896504672</c:v>
                </c:pt>
                <c:pt idx="10">
                  <c:v>-18955.189931003115</c:v>
                </c:pt>
                <c:pt idx="11">
                  <c:v>-9477.5949655015575</c:v>
                </c:pt>
                <c:pt idx="12">
                  <c:v>0</c:v>
                </c:pt>
                <c:pt idx="13">
                  <c:v>9477.5949655015575</c:v>
                </c:pt>
                <c:pt idx="14">
                  <c:v>18955.189931003115</c:v>
                </c:pt>
                <c:pt idx="15">
                  <c:v>28432.784896504672</c:v>
                </c:pt>
                <c:pt idx="16">
                  <c:v>37910.37986200623</c:v>
                </c:pt>
                <c:pt idx="17">
                  <c:v>47387.974827507787</c:v>
                </c:pt>
                <c:pt idx="18">
                  <c:v>66343.164758510902</c:v>
                </c:pt>
                <c:pt idx="19">
                  <c:v>104253.54462051713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712-4A75-89B1-5139CCF44730}"/>
            </c:ext>
          </c:extLst>
        </c:ser>
        <c:ser>
          <c:idx val="16"/>
          <c:order val="12"/>
          <c:tx>
            <c:strRef>
              <c:f>'Graph Calculation'!$AZ$24</c:f>
              <c:strCache>
                <c:ptCount val="1"/>
                <c:pt idx="0">
                  <c:v>31</c:v>
                </c:pt>
              </c:strCache>
            </c:strRef>
          </c:tx>
          <c:spPr>
            <a:ln>
              <a:solidFill>
                <a:schemeClr val="bg1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'Graph Calculation'!$AM$2:$AM$21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100</c:v>
                </c:pt>
                <c:pt idx="19">
                  <c:v>120</c:v>
                </c:pt>
              </c:numCache>
            </c:numRef>
          </c:xVal>
          <c:yVal>
            <c:numRef>
              <c:f>'Graph Calculation'!$AZ$2:$AZ$21</c:f>
              <c:numCache>
                <c:formatCode>0</c:formatCode>
                <c:ptCount val="20"/>
                <c:pt idx="0">
                  <c:v>-88909.96384328141</c:v>
                </c:pt>
                <c:pt idx="1">
                  <c:v>-81500.800189674628</c:v>
                </c:pt>
                <c:pt idx="2">
                  <c:v>-74091.636536067846</c:v>
                </c:pt>
                <c:pt idx="3">
                  <c:v>-66682.472882461065</c:v>
                </c:pt>
                <c:pt idx="4">
                  <c:v>-59273.309228854276</c:v>
                </c:pt>
                <c:pt idx="5">
                  <c:v>-51864.145575247494</c:v>
                </c:pt>
                <c:pt idx="6">
                  <c:v>-44454.981921640705</c:v>
                </c:pt>
                <c:pt idx="7">
                  <c:v>-37045.818268033923</c:v>
                </c:pt>
                <c:pt idx="8">
                  <c:v>-29636.654614427138</c:v>
                </c:pt>
                <c:pt idx="9">
                  <c:v>-22227.490960820352</c:v>
                </c:pt>
                <c:pt idx="10">
                  <c:v>-14818.327307213569</c:v>
                </c:pt>
                <c:pt idx="11">
                  <c:v>-7409.1636536067845</c:v>
                </c:pt>
                <c:pt idx="12">
                  <c:v>0</c:v>
                </c:pt>
                <c:pt idx="13">
                  <c:v>7409.1636536067845</c:v>
                </c:pt>
                <c:pt idx="14">
                  <c:v>14818.327307213569</c:v>
                </c:pt>
                <c:pt idx="15">
                  <c:v>22227.490960820352</c:v>
                </c:pt>
                <c:pt idx="16">
                  <c:v>29636.654614427138</c:v>
                </c:pt>
                <c:pt idx="17">
                  <c:v>37045.818268033923</c:v>
                </c:pt>
                <c:pt idx="18">
                  <c:v>51864.145575247494</c:v>
                </c:pt>
                <c:pt idx="19">
                  <c:v>81500.800189674628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712-4A75-89B1-5139CCF44730}"/>
            </c:ext>
          </c:extLst>
        </c:ser>
        <c:ser>
          <c:idx val="1"/>
          <c:order val="13"/>
          <c:tx>
            <c:strRef>
              <c:f>'Graph Calculation'!$AN$31</c:f>
              <c:strCache>
                <c:ptCount val="1"/>
                <c:pt idx="0">
                  <c:v>Inflight</c:v>
                </c:pt>
              </c:strCache>
            </c:strRef>
          </c:tx>
          <c:spPr>
            <a:ln>
              <a:solidFill>
                <a:schemeClr val="tx1">
                  <a:lumMod val="95000"/>
                  <a:lumOff val="5000"/>
                </a:schemeClr>
              </a:solidFill>
              <a:prstDash val="dash"/>
            </a:ln>
          </c:spPr>
          <c:marker>
            <c:symbol val="none"/>
          </c:marker>
          <c:xVal>
            <c:numRef>
              <c:f>'Graph Calculation'!$AN$32:$AV$32</c:f>
              <c:numCache>
                <c:formatCode>General</c:formatCode>
                <c:ptCount val="9"/>
                <c:pt idx="0">
                  <c:v>23.626639999999995</c:v>
                </c:pt>
                <c:pt idx="1">
                  <c:v>1.8366703999999956</c:v>
                </c:pt>
                <c:pt idx="2">
                  <c:v>9.3054255999999853</c:v>
                </c:pt>
                <c:pt idx="3">
                  <c:v>93.758723199999991</c:v>
                </c:pt>
                <c:pt idx="4">
                  <c:v>96.717479999999981</c:v>
                </c:pt>
                <c:pt idx="5">
                  <c:v>89.969079999999991</c:v>
                </c:pt>
                <c:pt idx="6">
                  <c:v>72.348767999999993</c:v>
                </c:pt>
                <c:pt idx="7">
                  <c:v>50.904799999999994</c:v>
                </c:pt>
                <c:pt idx="8">
                  <c:v>23.626639999999995</c:v>
                </c:pt>
              </c:numCache>
            </c:numRef>
          </c:xVal>
          <c:yVal>
            <c:numRef>
              <c:f>'Graph Calculation'!$AN$33:$AV$33</c:f>
              <c:numCache>
                <c:formatCode>General</c:formatCode>
                <c:ptCount val="9"/>
                <c:pt idx="0">
                  <c:v>31500</c:v>
                </c:pt>
                <c:pt idx="1">
                  <c:v>48090</c:v>
                </c:pt>
                <c:pt idx="2">
                  <c:v>50300</c:v>
                </c:pt>
                <c:pt idx="3">
                  <c:v>50300</c:v>
                </c:pt>
                <c:pt idx="4">
                  <c:v>47000</c:v>
                </c:pt>
                <c:pt idx="5">
                  <c:v>37000</c:v>
                </c:pt>
                <c:pt idx="6">
                  <c:v>28000</c:v>
                </c:pt>
                <c:pt idx="7">
                  <c:v>28000</c:v>
                </c:pt>
                <c:pt idx="8">
                  <c:v>31500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712-4A75-89B1-5139CCF44730}"/>
            </c:ext>
          </c:extLst>
        </c:ser>
        <c:ser>
          <c:idx val="0"/>
          <c:order val="14"/>
          <c:tx>
            <c:strRef>
              <c:f>'Graph Calculation'!$AN$40</c:f>
              <c:strCache>
                <c:ptCount val="1"/>
                <c:pt idx="0">
                  <c:v>Main</c:v>
                </c:pt>
              </c:strCache>
            </c:strRef>
          </c:tx>
          <c:spPr>
            <a:ln w="41275"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xVal>
            <c:numRef>
              <c:f>'Graph Calculation'!$AN$41:$AX$41</c:f>
              <c:numCache>
                <c:formatCode>General</c:formatCode>
                <c:ptCount val="11"/>
                <c:pt idx="0">
                  <c:v>28.26596</c:v>
                </c:pt>
                <c:pt idx="1">
                  <c:v>8.919365599999999</c:v>
                </c:pt>
                <c:pt idx="2">
                  <c:v>16.713609599999998</c:v>
                </c:pt>
                <c:pt idx="3">
                  <c:v>86.3505392</c:v>
                </c:pt>
                <c:pt idx="4">
                  <c:v>89.79531999999999</c:v>
                </c:pt>
                <c:pt idx="5">
                  <c:v>86.313423999999998</c:v>
                </c:pt>
                <c:pt idx="6">
                  <c:v>84.519719999999992</c:v>
                </c:pt>
                <c:pt idx="7">
                  <c:v>72.129800000000003</c:v>
                </c:pt>
                <c:pt idx="8">
                  <c:v>68.224927999999991</c:v>
                </c:pt>
                <c:pt idx="9">
                  <c:v>55.028639999999996</c:v>
                </c:pt>
                <c:pt idx="10">
                  <c:v>28.26596</c:v>
                </c:pt>
              </c:numCache>
            </c:numRef>
          </c:xVal>
          <c:yVal>
            <c:numRef>
              <c:f>'Graph Calculation'!$AN$42:$AX$42</c:f>
              <c:numCache>
                <c:formatCode>General</c:formatCode>
                <c:ptCount val="11"/>
                <c:pt idx="0">
                  <c:v>31500</c:v>
                </c:pt>
                <c:pt idx="1">
                  <c:v>48090</c:v>
                </c:pt>
                <c:pt idx="2">
                  <c:v>50300</c:v>
                </c:pt>
                <c:pt idx="3">
                  <c:v>50300</c:v>
                </c:pt>
                <c:pt idx="4">
                  <c:v>47000</c:v>
                </c:pt>
                <c:pt idx="5">
                  <c:v>40400</c:v>
                </c:pt>
                <c:pt idx="6">
                  <c:v>37000</c:v>
                </c:pt>
                <c:pt idx="7">
                  <c:v>30600</c:v>
                </c:pt>
                <c:pt idx="8">
                  <c:v>28000</c:v>
                </c:pt>
                <c:pt idx="9">
                  <c:v>28000</c:v>
                </c:pt>
                <c:pt idx="10">
                  <c:v>31500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712-4A75-89B1-5139CCF44730}"/>
            </c:ext>
          </c:extLst>
        </c:ser>
        <c:ser>
          <c:idx val="3"/>
          <c:order val="15"/>
          <c:tx>
            <c:strRef>
              <c:f>'Graph Calculation'!$AY$36</c:f>
              <c:strCache>
                <c:ptCount val="1"/>
                <c:pt idx="0">
                  <c:v>Not for  T/O 1</c:v>
                </c:pt>
              </c:strCache>
            </c:strRef>
          </c:tx>
          <c:spPr>
            <a:ln w="41275"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xVal>
            <c:numRef>
              <c:f>'Graph Calculation'!$AY$37:$BC$37</c:f>
              <c:numCache>
                <c:formatCode>General</c:formatCode>
                <c:ptCount val="5"/>
                <c:pt idx="0">
                  <c:v>65.363607999999999</c:v>
                </c:pt>
                <c:pt idx="1">
                  <c:v>86.313423999999998</c:v>
                </c:pt>
                <c:pt idx="2">
                  <c:v>84.519719999999992</c:v>
                </c:pt>
                <c:pt idx="3">
                  <c:v>72.129800000000003</c:v>
                </c:pt>
                <c:pt idx="4">
                  <c:v>65.363607999999999</c:v>
                </c:pt>
              </c:numCache>
            </c:numRef>
          </c:xVal>
          <c:yVal>
            <c:numRef>
              <c:f>'Graph Calculation'!$AY$38:$BC$38</c:f>
              <c:numCache>
                <c:formatCode>General</c:formatCode>
                <c:ptCount val="5"/>
                <c:pt idx="0">
                  <c:v>30100</c:v>
                </c:pt>
                <c:pt idx="1">
                  <c:v>40400</c:v>
                </c:pt>
                <c:pt idx="2">
                  <c:v>37000</c:v>
                </c:pt>
                <c:pt idx="3">
                  <c:v>30600</c:v>
                </c:pt>
                <c:pt idx="4">
                  <c:v>30100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7712-4A75-89B1-5139CCF44730}"/>
            </c:ext>
          </c:extLst>
        </c:ser>
        <c:ser>
          <c:idx val="2"/>
          <c:order val="16"/>
          <c:tx>
            <c:strRef>
              <c:f>'Graph Calculation'!$AY$31</c:f>
              <c:strCache>
                <c:ptCount val="1"/>
                <c:pt idx="0">
                  <c:v>Not for  T/O 2</c:v>
                </c:pt>
              </c:strCache>
            </c:strRef>
          </c:tx>
          <c:spPr>
            <a:ln w="41275">
              <a:solidFill>
                <a:schemeClr val="tx1">
                  <a:lumMod val="95000"/>
                  <a:lumOff val="5000"/>
                </a:schemeClr>
              </a:solidFill>
            </a:ln>
          </c:spPr>
          <c:marker>
            <c:symbol val="none"/>
          </c:marker>
          <c:xVal>
            <c:numRef>
              <c:f>'Graph Calculation'!$AY$32:$BE$32</c:f>
              <c:numCache>
                <c:formatCode>General</c:formatCode>
                <c:ptCount val="7"/>
                <c:pt idx="0">
                  <c:v>28.26596</c:v>
                </c:pt>
                <c:pt idx="1">
                  <c:v>57.535791999999987</c:v>
                </c:pt>
                <c:pt idx="2">
                  <c:v>65.363607999999999</c:v>
                </c:pt>
                <c:pt idx="3">
                  <c:v>72.129800000000003</c:v>
                </c:pt>
                <c:pt idx="4">
                  <c:v>68.224927999999991</c:v>
                </c:pt>
                <c:pt idx="5">
                  <c:v>55.028639999999996</c:v>
                </c:pt>
                <c:pt idx="6">
                  <c:v>28.26596</c:v>
                </c:pt>
              </c:numCache>
            </c:numRef>
          </c:xVal>
          <c:yVal>
            <c:numRef>
              <c:f>'Graph Calculation'!$AY$33:$BE$33</c:f>
              <c:numCache>
                <c:formatCode>General</c:formatCode>
                <c:ptCount val="7"/>
                <c:pt idx="0">
                  <c:v>31500</c:v>
                </c:pt>
                <c:pt idx="1">
                  <c:v>29500</c:v>
                </c:pt>
                <c:pt idx="2">
                  <c:v>30100</c:v>
                </c:pt>
                <c:pt idx="3">
                  <c:v>30600</c:v>
                </c:pt>
                <c:pt idx="4">
                  <c:v>28000</c:v>
                </c:pt>
                <c:pt idx="5">
                  <c:v>28000</c:v>
                </c:pt>
                <c:pt idx="6">
                  <c:v>31500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712-4A75-89B1-5139CCF44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628808"/>
        <c:axId val="474629592"/>
      </c:scatterChart>
      <c:valAx>
        <c:axId val="474628808"/>
        <c:scaling>
          <c:orientation val="minMax"/>
          <c:max val="100"/>
          <c:min val="0"/>
        </c:scaling>
        <c:delete val="0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474629592"/>
        <c:crosses val="autoZero"/>
        <c:crossBetween val="midCat"/>
        <c:majorUnit val="10"/>
        <c:minorUnit val="5"/>
      </c:valAx>
      <c:valAx>
        <c:axId val="474629592"/>
        <c:scaling>
          <c:orientation val="minMax"/>
          <c:max val="52000"/>
          <c:min val="27000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74628808"/>
        <c:crosses val="autoZero"/>
        <c:crossBetween val="midCat"/>
        <c:majorUnit val="1000"/>
        <c:minorUnit val="1000"/>
      </c:valAx>
      <c:spPr>
        <a:noFill/>
      </c:spPr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Tabelle1!$A$1</c:f>
              <c:strCache>
                <c:ptCount val="1"/>
                <c:pt idx="0">
                  <c:v>Takeoff FWD</c:v>
                </c:pt>
              </c:strCache>
            </c:strRef>
          </c:tx>
          <c:spPr>
            <a:ln w="19050" cap="rnd" cmpd="sng" algn="ctr">
              <a:solidFill>
                <a:srgbClr val="9BBB59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noFill/>
              <a:ln w="19050" cap="rnd" cmpd="sng" algn="ctr">
                <a:solidFill>
                  <a:srgbClr val="9BBB5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0000FF"/>
                    </a:solidFill>
                  </a14:hiddenFill>
                </a:ext>
              </a:extLst>
            </c:spPr>
          </c:marker>
          <c:xVal>
            <c:numRef>
              <c:f>Tabelle1!$B$2:$B$5</c:f>
              <c:numCache>
                <c:formatCode>General</c:formatCode>
                <c:ptCount val="4"/>
                <c:pt idx="0">
                  <c:v>46.9</c:v>
                </c:pt>
                <c:pt idx="1">
                  <c:v>36.1</c:v>
                </c:pt>
                <c:pt idx="2">
                  <c:v>24.9</c:v>
                </c:pt>
                <c:pt idx="3">
                  <c:v>77.2</c:v>
                </c:pt>
              </c:numCache>
            </c:numRef>
          </c:xVal>
          <c:yVal>
            <c:numRef>
              <c:f>Tabelle1!$A$2:$A$5</c:f>
              <c:numCache>
                <c:formatCode>General</c:formatCode>
                <c:ptCount val="4"/>
                <c:pt idx="0">
                  <c:v>32700</c:v>
                </c:pt>
                <c:pt idx="1">
                  <c:v>37200</c:v>
                </c:pt>
                <c:pt idx="2">
                  <c:v>54000</c:v>
                </c:pt>
                <c:pt idx="3">
                  <c:v>54000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481-4D36-A4BD-6A27B9AD0BB1}"/>
            </c:ext>
          </c:extLst>
        </c:ser>
        <c:ser>
          <c:idx val="1"/>
          <c:order val="1"/>
          <c:tx>
            <c:strRef>
              <c:f>Tabelle1!$A$7</c:f>
              <c:strCache>
                <c:ptCount val="1"/>
                <c:pt idx="0">
                  <c:v>Takeoff AFT</c:v>
                </c:pt>
              </c:strCache>
            </c:strRef>
          </c:tx>
          <c:spPr>
            <a:ln w="19050" cap="rnd" cmpd="sng" algn="ctr">
              <a:solidFill>
                <a:srgbClr val="9BBB59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noFill/>
              <a:ln w="19050" cap="rnd" cmpd="sng" algn="ctr">
                <a:solidFill>
                  <a:srgbClr val="9BBB59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</a:extLst>
            </c:spPr>
          </c:marker>
          <c:xVal>
            <c:numRef>
              <c:f>Tabelle1!$B$8:$B$12</c:f>
              <c:numCache>
                <c:formatCode>General</c:formatCode>
                <c:ptCount val="5"/>
                <c:pt idx="0">
                  <c:v>46.9</c:v>
                </c:pt>
                <c:pt idx="1">
                  <c:v>58.6</c:v>
                </c:pt>
                <c:pt idx="2">
                  <c:v>69.7</c:v>
                </c:pt>
                <c:pt idx="3">
                  <c:v>90.8</c:v>
                </c:pt>
                <c:pt idx="4">
                  <c:v>77.2</c:v>
                </c:pt>
              </c:numCache>
            </c:numRef>
          </c:xVal>
          <c:yVal>
            <c:numRef>
              <c:f>Tabelle1!$A$8:$A$12</c:f>
              <c:numCache>
                <c:formatCode>General</c:formatCode>
                <c:ptCount val="5"/>
                <c:pt idx="0">
                  <c:v>32700</c:v>
                </c:pt>
                <c:pt idx="1">
                  <c:v>32700</c:v>
                </c:pt>
                <c:pt idx="2">
                  <c:v>36177</c:v>
                </c:pt>
                <c:pt idx="3">
                  <c:v>49050</c:v>
                </c:pt>
                <c:pt idx="4">
                  <c:v>54000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481-4D36-A4BD-6A27B9AD0BB1}"/>
            </c:ext>
          </c:extLst>
        </c:ser>
        <c:ser>
          <c:idx val="2"/>
          <c:order val="2"/>
          <c:tx>
            <c:strRef>
              <c:f>Tabelle1!$A$14</c:f>
              <c:strCache>
                <c:ptCount val="1"/>
                <c:pt idx="0">
                  <c:v>Inflight FWD</c:v>
                </c:pt>
              </c:strCache>
            </c:strRef>
          </c:tx>
          <c:spPr>
            <a:ln w="1905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9083BB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  <c:marker>
            <c:symbol val="circle"/>
            <c:size val="5"/>
            <c:spPr>
              <a:noFill/>
              <a:ln w="19050" cap="rnd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9BBB59"/>
                    </a:solidFill>
                  </a14:hiddenFill>
                </a:ext>
                <a:ext uri="{91240B29-F687-4F45-9708-019B960494DF}">
                  <a14:hiddenLine xmlns:a14="http://schemas.microsoft.com/office/drawing/2010/main" w="19050" cap="rnd" cmpd="sng" algn="ctr">
                    <a:solidFill>
                      <a:srgbClr val="9083BB"/>
                    </a:solidFill>
                    <a:prstDash val="solid"/>
                    <a:round/>
                    <a:headEnd type="none" w="med" len="med"/>
                    <a:tailEnd type="none" w="med" len="med"/>
                  </a14:hiddenLine>
                </a:ext>
              </a:extLst>
            </c:spPr>
          </c:marker>
          <c:xVal>
            <c:numRef>
              <c:f>Tabelle1!$B$15:$B$18</c:f>
              <c:numCache>
                <c:formatCode>General</c:formatCode>
                <c:ptCount val="4"/>
                <c:pt idx="0">
                  <c:v>46.9</c:v>
                </c:pt>
                <c:pt idx="1">
                  <c:v>36.1</c:v>
                </c:pt>
                <c:pt idx="2">
                  <c:v>24.9</c:v>
                </c:pt>
                <c:pt idx="3">
                  <c:v>77.2</c:v>
                </c:pt>
              </c:numCache>
            </c:numRef>
          </c:xVal>
          <c:yVal>
            <c:numRef>
              <c:f>Tabelle1!$A$15:$A$18</c:f>
              <c:numCache>
                <c:formatCode>General</c:formatCode>
                <c:ptCount val="4"/>
                <c:pt idx="0">
                  <c:v>32700</c:v>
                </c:pt>
                <c:pt idx="1">
                  <c:v>37200</c:v>
                </c:pt>
                <c:pt idx="2">
                  <c:v>54000</c:v>
                </c:pt>
                <c:pt idx="3">
                  <c:v>54000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7481-4D36-A4BD-6A27B9AD0BB1}"/>
            </c:ext>
          </c:extLst>
        </c:ser>
        <c:ser>
          <c:idx val="3"/>
          <c:order val="3"/>
          <c:tx>
            <c:strRef>
              <c:f>Tabelle1!$A$20</c:f>
              <c:strCache>
                <c:ptCount val="1"/>
                <c:pt idx="0">
                  <c:v>Inflight AFT</c:v>
                </c:pt>
              </c:strCache>
            </c:strRef>
          </c:tx>
          <c:spPr>
            <a:ln w="1905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9083BB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  <c:marker>
            <c:symbol val="circle"/>
            <c:size val="5"/>
            <c:spPr>
              <a:noFill/>
              <a:ln w="19050" cap="rnd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8064A2"/>
                    </a:solidFill>
                  </a14:hiddenFill>
                </a:ext>
                <a:ext uri="{91240B29-F687-4F45-9708-019B960494DF}">
                  <a14:hiddenLine xmlns:a14="http://schemas.microsoft.com/office/drawing/2010/main" w="19050" cap="rnd" cmpd="sng" algn="ctr">
                    <a:solidFill>
                      <a:srgbClr val="9083BB"/>
                    </a:solidFill>
                    <a:prstDash val="solid"/>
                    <a:round/>
                    <a:headEnd type="none" w="med" len="med"/>
                    <a:tailEnd type="none" w="med" len="med"/>
                  </a14:hiddenLine>
                </a:ext>
              </a:extLst>
            </c:spPr>
          </c:marker>
          <c:xVal>
            <c:numRef>
              <c:f>Tabelle1!$B$21:$B$26</c:f>
              <c:numCache>
                <c:formatCode>General</c:formatCode>
                <c:ptCount val="6"/>
                <c:pt idx="0">
                  <c:v>46.9</c:v>
                </c:pt>
                <c:pt idx="1">
                  <c:v>58.6</c:v>
                </c:pt>
                <c:pt idx="2">
                  <c:v>69.7</c:v>
                </c:pt>
                <c:pt idx="3">
                  <c:v>83</c:v>
                </c:pt>
                <c:pt idx="4">
                  <c:v>90.8</c:v>
                </c:pt>
                <c:pt idx="5">
                  <c:v>77.2</c:v>
                </c:pt>
              </c:numCache>
            </c:numRef>
          </c:xVal>
          <c:yVal>
            <c:numRef>
              <c:f>Tabelle1!$A$21:$A$26</c:f>
              <c:numCache>
                <c:formatCode>General</c:formatCode>
                <c:ptCount val="6"/>
                <c:pt idx="0">
                  <c:v>32700</c:v>
                </c:pt>
                <c:pt idx="1">
                  <c:v>32700</c:v>
                </c:pt>
                <c:pt idx="2">
                  <c:v>36177</c:v>
                </c:pt>
                <c:pt idx="3">
                  <c:v>40300</c:v>
                </c:pt>
                <c:pt idx="4">
                  <c:v>49050</c:v>
                </c:pt>
                <c:pt idx="5">
                  <c:v>54000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481-4D36-A4BD-6A27B9AD0BB1}"/>
            </c:ext>
          </c:extLst>
        </c:ser>
        <c:ser>
          <c:idx val="4"/>
          <c:order val="4"/>
          <c:tx>
            <c:strRef>
              <c:f>Tabelle1!$A$28</c:f>
              <c:strCache>
                <c:ptCount val="1"/>
                <c:pt idx="0">
                  <c:v>Landing FWD</c:v>
                </c:pt>
              </c:strCache>
            </c:strRef>
          </c:tx>
          <c:spPr>
            <a:ln w="1905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FF3399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  <c:marker>
            <c:symbol val="circle"/>
            <c:size val="5"/>
            <c:spPr>
              <a:noFill/>
              <a:ln w="19050" cap="rnd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BACC6"/>
                    </a:solidFill>
                  </a14:hiddenFill>
                </a:ext>
                <a:ext uri="{91240B29-F687-4F45-9708-019B960494DF}">
                  <a14:hiddenLine xmlns:a14="http://schemas.microsoft.com/office/drawing/2010/main" w="19050" cap="rnd" cmpd="sng" algn="ctr">
                    <a:solidFill>
                      <a:srgbClr val="FF3399"/>
                    </a:solidFill>
                    <a:prstDash val="solid"/>
                    <a:round/>
                    <a:headEnd type="none" w="med" len="med"/>
                    <a:tailEnd type="none" w="med" len="med"/>
                  </a14:hiddenLine>
                </a:ext>
              </a:extLst>
            </c:spPr>
          </c:marker>
          <c:xVal>
            <c:numRef>
              <c:f>Tabelle1!$B$29:$B$32</c:f>
              <c:numCache>
                <c:formatCode>General</c:formatCode>
                <c:ptCount val="4"/>
                <c:pt idx="0">
                  <c:v>46.9</c:v>
                </c:pt>
                <c:pt idx="1">
                  <c:v>36.1</c:v>
                </c:pt>
                <c:pt idx="2">
                  <c:v>28.2</c:v>
                </c:pt>
                <c:pt idx="3">
                  <c:v>90.8</c:v>
                </c:pt>
              </c:numCache>
            </c:numRef>
          </c:xVal>
          <c:yVal>
            <c:numRef>
              <c:f>Tabelle1!$A$29:$A$32</c:f>
              <c:numCache>
                <c:formatCode>General</c:formatCode>
                <c:ptCount val="4"/>
                <c:pt idx="0">
                  <c:v>32700</c:v>
                </c:pt>
                <c:pt idx="1">
                  <c:v>32700</c:v>
                </c:pt>
                <c:pt idx="2">
                  <c:v>49050</c:v>
                </c:pt>
                <c:pt idx="3">
                  <c:v>49050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7481-4D36-A4BD-6A27B9AD0BB1}"/>
            </c:ext>
          </c:extLst>
        </c:ser>
        <c:ser>
          <c:idx val="5"/>
          <c:order val="5"/>
          <c:tx>
            <c:strRef>
              <c:f>Tabelle1!$A$34</c:f>
              <c:strCache>
                <c:ptCount val="1"/>
                <c:pt idx="0">
                  <c:v>Landing Aft</c:v>
                </c:pt>
              </c:strCache>
            </c:strRef>
          </c:tx>
          <c:spPr>
            <a:ln w="1905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FF3399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  <c:marker>
            <c:symbol val="circle"/>
            <c:size val="5"/>
            <c:spPr>
              <a:noFill/>
              <a:ln w="19050" cap="rnd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F79646"/>
                    </a:solidFill>
                  </a14:hiddenFill>
                </a:ext>
                <a:ext uri="{91240B29-F687-4F45-9708-019B960494DF}">
                  <a14:hiddenLine xmlns:a14="http://schemas.microsoft.com/office/drawing/2010/main" w="19050" cap="rnd" cmpd="sng" algn="ctr">
                    <a:solidFill>
                      <a:srgbClr val="FF3399"/>
                    </a:solidFill>
                    <a:prstDash val="solid"/>
                    <a:round/>
                    <a:headEnd type="none" w="med" len="med"/>
                    <a:tailEnd type="none" w="med" len="med"/>
                  </a14:hiddenLine>
                </a:ext>
              </a:extLst>
            </c:spPr>
          </c:marker>
          <c:xVal>
            <c:numRef>
              <c:f>Tabelle1!$B$35:$B$39</c:f>
              <c:numCache>
                <c:formatCode>General</c:formatCode>
                <c:ptCount val="5"/>
                <c:pt idx="0">
                  <c:v>46.9</c:v>
                </c:pt>
                <c:pt idx="1">
                  <c:v>58.6</c:v>
                </c:pt>
                <c:pt idx="2">
                  <c:v>69.7</c:v>
                </c:pt>
                <c:pt idx="3">
                  <c:v>83</c:v>
                </c:pt>
                <c:pt idx="4">
                  <c:v>90.8</c:v>
                </c:pt>
              </c:numCache>
            </c:numRef>
          </c:xVal>
          <c:yVal>
            <c:numRef>
              <c:f>Tabelle1!$A$35:$A$39</c:f>
              <c:numCache>
                <c:formatCode>General</c:formatCode>
                <c:ptCount val="5"/>
                <c:pt idx="0">
                  <c:v>32700</c:v>
                </c:pt>
                <c:pt idx="1">
                  <c:v>32700</c:v>
                </c:pt>
                <c:pt idx="2">
                  <c:v>36177</c:v>
                </c:pt>
                <c:pt idx="3">
                  <c:v>40300</c:v>
                </c:pt>
                <c:pt idx="4">
                  <c:v>49050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7481-4D36-A4BD-6A27B9AD0BB1}"/>
            </c:ext>
          </c:extLst>
        </c:ser>
        <c:ser>
          <c:idx val="6"/>
          <c:order val="6"/>
          <c:tx>
            <c:strRef>
              <c:f>Tabelle1!$A$41</c:f>
              <c:strCache>
                <c:ptCount val="1"/>
                <c:pt idx="0">
                  <c:v>Zero fuel operation envelope FWD</c:v>
                </c:pt>
              </c:strCache>
            </c:strRef>
          </c:tx>
          <c:spPr>
            <a:ln w="19050" cap="rnd" cmpd="sng" algn="ctr">
              <a:solidFill>
                <a:prstClr val="black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noFill/>
              <a:ln w="19050" cap="rnd" cmpd="sng" algn="ctr">
                <a:solidFill>
                  <a:prstClr val="black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>
                        <a:lumMod val="60000"/>
                      </a:srgbClr>
                    </a:solidFill>
                  </a14:hiddenFill>
                </a:ext>
              </a:extLst>
            </c:spPr>
          </c:marker>
          <c:xVal>
            <c:numRef>
              <c:f>Tabelle1!$B$42:$B$45</c:f>
              <c:numCache>
                <c:formatCode>General</c:formatCode>
                <c:ptCount val="4"/>
                <c:pt idx="0">
                  <c:v>46.9</c:v>
                </c:pt>
                <c:pt idx="1">
                  <c:v>36.1</c:v>
                </c:pt>
                <c:pt idx="2">
                  <c:v>29.8</c:v>
                </c:pt>
                <c:pt idx="3">
                  <c:v>88.7</c:v>
                </c:pt>
              </c:numCache>
            </c:numRef>
          </c:xVal>
          <c:yVal>
            <c:numRef>
              <c:f>Tabelle1!$A$42:$A$45</c:f>
              <c:numCache>
                <c:formatCode>General</c:formatCode>
                <c:ptCount val="4"/>
                <c:pt idx="0">
                  <c:v>32700</c:v>
                </c:pt>
                <c:pt idx="1">
                  <c:v>37200</c:v>
                </c:pt>
                <c:pt idx="2">
                  <c:v>46700</c:v>
                </c:pt>
                <c:pt idx="3">
                  <c:v>46700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7481-4D36-A4BD-6A27B9AD0BB1}"/>
            </c:ext>
          </c:extLst>
        </c:ser>
        <c:ser>
          <c:idx val="7"/>
          <c:order val="7"/>
          <c:tx>
            <c:strRef>
              <c:f>Tabelle1!$A$47</c:f>
              <c:strCache>
                <c:ptCount val="1"/>
                <c:pt idx="0">
                  <c:v>Zero fuel operation envelope AFT</c:v>
                </c:pt>
              </c:strCache>
            </c:strRef>
          </c:tx>
          <c:spPr>
            <a:ln w="19050" cap="rnd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noFill/>
              <a:ln w="19050" cap="rnd" cmpd="sng" algn="ctr">
                <a:solidFill>
                  <a:srgbClr val="7030A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C0504D">
                        <a:lumMod val="60000"/>
                      </a:srgbClr>
                    </a:solidFill>
                  </a14:hiddenFill>
                </a:ext>
              </a:extLst>
            </c:spPr>
          </c:marker>
          <c:xVal>
            <c:numRef>
              <c:f>Tabelle1!$B$48:$B$52</c:f>
              <c:numCache>
                <c:formatCode>General</c:formatCode>
                <c:ptCount val="5"/>
                <c:pt idx="0">
                  <c:v>46.9</c:v>
                </c:pt>
                <c:pt idx="1">
                  <c:v>58.6</c:v>
                </c:pt>
                <c:pt idx="2">
                  <c:v>69.7</c:v>
                </c:pt>
                <c:pt idx="3">
                  <c:v>83</c:v>
                </c:pt>
                <c:pt idx="4">
                  <c:v>88.7</c:v>
                </c:pt>
              </c:numCache>
            </c:numRef>
          </c:xVal>
          <c:yVal>
            <c:numRef>
              <c:f>Tabelle1!$A$48:$A$52</c:f>
              <c:numCache>
                <c:formatCode>General</c:formatCode>
                <c:ptCount val="5"/>
                <c:pt idx="0">
                  <c:v>32700</c:v>
                </c:pt>
                <c:pt idx="1">
                  <c:v>32700</c:v>
                </c:pt>
                <c:pt idx="2">
                  <c:v>36177</c:v>
                </c:pt>
                <c:pt idx="3">
                  <c:v>40300</c:v>
                </c:pt>
                <c:pt idx="4">
                  <c:v>46700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7481-4D36-A4BD-6A27B9AD0BB1}"/>
            </c:ext>
          </c:extLst>
        </c:ser>
        <c:ser>
          <c:idx val="8"/>
          <c:order val="8"/>
          <c:tx>
            <c:strRef>
              <c:f>Tabelle1!$A$54</c:f>
              <c:strCache>
                <c:ptCount val="1"/>
                <c:pt idx="0">
                  <c:v>Alternate CG 1  FWD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FCBD6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  <c:marker>
            <c:symbol val="circle"/>
            <c:size val="5"/>
            <c:spPr>
              <a:noFill/>
              <a:ln w="38100" cap="rnd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9BBB59">
                        <a:lumMod val="60000"/>
                      </a:srgbClr>
                    </a:solidFill>
                  </a14:hiddenFill>
                </a:ex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FCBD60"/>
                    </a:solidFill>
                    <a:prstDash val="solid"/>
                    <a:round/>
                    <a:headEnd type="none" w="med" len="med"/>
                    <a:tailEnd type="none" w="med" len="med"/>
                  </a14:hiddenLine>
                </a:ext>
              </a:extLst>
            </c:spPr>
          </c:marker>
          <c:xVal>
            <c:numRef>
              <c:f>Tabelle1!$B$55:$B$57</c:f>
              <c:numCache>
                <c:formatCode>General</c:formatCode>
                <c:ptCount val="3"/>
                <c:pt idx="0">
                  <c:v>47.6</c:v>
                </c:pt>
                <c:pt idx="1">
                  <c:v>44.7</c:v>
                </c:pt>
                <c:pt idx="2">
                  <c:v>77.2</c:v>
                </c:pt>
              </c:numCache>
            </c:numRef>
          </c:xVal>
          <c:yVal>
            <c:numRef>
              <c:f>Tabelle1!$A$55:$A$57</c:f>
              <c:numCache>
                <c:formatCode>General</c:formatCode>
                <c:ptCount val="3"/>
                <c:pt idx="0">
                  <c:v>32700</c:v>
                </c:pt>
                <c:pt idx="1">
                  <c:v>54000</c:v>
                </c:pt>
                <c:pt idx="2">
                  <c:v>54000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481-4D36-A4BD-6A27B9AD0BB1}"/>
            </c:ext>
          </c:extLst>
        </c:ser>
        <c:ser>
          <c:idx val="9"/>
          <c:order val="9"/>
          <c:tx>
            <c:strRef>
              <c:f>Tabelle1!$A$61</c:f>
              <c:strCache>
                <c:ptCount val="1"/>
                <c:pt idx="0">
                  <c:v>Alternate CG 1  AFT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FCBD60"/>
                  </a:solidFill>
                  <a:prstDash val="solid"/>
                  <a:round/>
                  <a:headEnd type="none" w="med" len="med"/>
                  <a:tailEnd type="none" w="med" len="med"/>
                </a14:hiddenLine>
              </a:ext>
            </a:extLst>
          </c:spPr>
          <c:marker>
            <c:symbol val="circle"/>
            <c:size val="5"/>
            <c:spPr>
              <a:noFill/>
              <a:ln w="38100" cap="rnd" cmpd="sng" algn="ctr">
                <a:noFill/>
                <a:prstDash val="solid"/>
                <a:round/>
                <a:headEnd type="none" w="med" len="med"/>
                <a:tailEnd type="none" w="med" len="med"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8064A2">
                        <a:lumMod val="60000"/>
                      </a:srgbClr>
                    </a:solidFill>
                  </a14:hiddenFill>
                </a:ex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FCBD60"/>
                    </a:solidFill>
                    <a:prstDash val="solid"/>
                    <a:round/>
                    <a:headEnd type="none" w="med" len="med"/>
                    <a:tailEnd type="none" w="med" len="med"/>
                  </a14:hiddenLine>
                </a:ext>
              </a:extLst>
            </c:spPr>
          </c:marker>
          <c:xVal>
            <c:numRef>
              <c:f>Tabelle1!$B$62:$B$66</c:f>
              <c:numCache>
                <c:formatCode>General</c:formatCode>
                <c:ptCount val="5"/>
                <c:pt idx="0">
                  <c:v>47.6</c:v>
                </c:pt>
                <c:pt idx="1">
                  <c:v>58.6</c:v>
                </c:pt>
                <c:pt idx="2">
                  <c:v>69.7</c:v>
                </c:pt>
                <c:pt idx="3">
                  <c:v>90.8</c:v>
                </c:pt>
                <c:pt idx="4">
                  <c:v>77.2</c:v>
                </c:pt>
              </c:numCache>
            </c:numRef>
          </c:xVal>
          <c:yVal>
            <c:numRef>
              <c:f>Tabelle1!$A$62:$A$66</c:f>
              <c:numCache>
                <c:formatCode>General</c:formatCode>
                <c:ptCount val="5"/>
                <c:pt idx="0">
                  <c:v>32700</c:v>
                </c:pt>
                <c:pt idx="1">
                  <c:v>32700</c:v>
                </c:pt>
                <c:pt idx="2">
                  <c:v>36177</c:v>
                </c:pt>
                <c:pt idx="3">
                  <c:v>49050</c:v>
                </c:pt>
                <c:pt idx="4">
                  <c:v>54000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481-4D36-A4BD-6A27B9AD0BB1}"/>
            </c:ext>
          </c:extLst>
        </c:ser>
        <c:ser>
          <c:idx val="10"/>
          <c:order val="10"/>
          <c:tx>
            <c:strRef>
              <c:f>Tabelle1!$A$68</c:f>
              <c:strCache>
                <c:ptCount val="1"/>
                <c:pt idx="0">
                  <c:v>Alternate CG 2  FWD</c:v>
                </c:pt>
              </c:strCache>
            </c:strRef>
          </c:tx>
          <c:spPr>
            <a:ln w="19050" cap="rnd" cmpd="sng" algn="ctr">
              <a:noFill/>
              <a:prstDash val="lgDash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B03200"/>
                  </a:solidFill>
                  <a:prstDash val="lgDash"/>
                  <a:round/>
                  <a:headEnd type="none" w="med" len="med"/>
                  <a:tailEnd type="none" w="med" len="med"/>
                </a14:hiddenLine>
              </a:ext>
            </a:extLst>
          </c:spPr>
          <c:marker>
            <c:symbol val="circle"/>
            <c:size val="5"/>
            <c:spPr>
              <a:noFill/>
              <a:ln w="19050" cap="rnd" cmpd="sng" algn="ctr">
                <a:noFill/>
                <a:prstDash val="lgDash"/>
                <a:round/>
                <a:headEnd type="none" w="med" len="med"/>
                <a:tailEnd type="none" w="med" len="med"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BACC6">
                        <a:lumMod val="60000"/>
                      </a:srgbClr>
                    </a:solidFill>
                  </a14:hiddenFill>
                </a:ext>
                <a:ext uri="{91240B29-F687-4F45-9708-019B960494DF}">
                  <a14:hiddenLine xmlns:a14="http://schemas.microsoft.com/office/drawing/2010/main" w="19050" cap="rnd" cmpd="sng" algn="ctr">
                    <a:solidFill>
                      <a:srgbClr val="B03200"/>
                    </a:solidFill>
                    <a:prstDash val="lgDash"/>
                    <a:round/>
                    <a:headEnd type="none" w="med" len="med"/>
                    <a:tailEnd type="none" w="med" len="med"/>
                  </a14:hiddenLine>
                </a:ext>
              </a:extLst>
            </c:spPr>
          </c:marker>
          <c:xVal>
            <c:numRef>
              <c:f>Tabelle1!$B$69:$B$71</c:f>
              <c:numCache>
                <c:formatCode>General</c:formatCode>
                <c:ptCount val="3"/>
                <c:pt idx="0">
                  <c:v>57.3</c:v>
                </c:pt>
                <c:pt idx="1">
                  <c:v>60.7</c:v>
                </c:pt>
                <c:pt idx="2">
                  <c:v>77.2</c:v>
                </c:pt>
              </c:numCache>
            </c:numRef>
          </c:xVal>
          <c:yVal>
            <c:numRef>
              <c:f>Tabelle1!$A$69:$A$71</c:f>
              <c:numCache>
                <c:formatCode>General</c:formatCode>
                <c:ptCount val="3"/>
                <c:pt idx="0">
                  <c:v>32700</c:v>
                </c:pt>
                <c:pt idx="1">
                  <c:v>54000</c:v>
                </c:pt>
                <c:pt idx="2">
                  <c:v>54000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7481-4D36-A4BD-6A27B9AD0BB1}"/>
            </c:ext>
          </c:extLst>
        </c:ser>
        <c:ser>
          <c:idx val="11"/>
          <c:order val="11"/>
          <c:tx>
            <c:strRef>
              <c:f>Tabelle1!$A$75</c:f>
              <c:strCache>
                <c:ptCount val="1"/>
                <c:pt idx="0">
                  <c:v>Alternate CG 2  AFT</c:v>
                </c:pt>
              </c:strCache>
            </c:strRef>
          </c:tx>
          <c:spPr>
            <a:ln w="19050" cap="rnd" cmpd="sng" algn="ctr">
              <a:noFill/>
              <a:prstDash val="lgDash"/>
              <a:round/>
              <a:headEnd type="none" w="med" len="med"/>
              <a:tailEnd type="none" w="med" len="med"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B03200"/>
                  </a:solidFill>
                  <a:prstDash val="lgDash"/>
                  <a:round/>
                  <a:headEnd type="none" w="med" len="med"/>
                  <a:tailEnd type="none" w="med" len="med"/>
                </a14:hiddenLine>
              </a:ext>
            </a:extLst>
          </c:spPr>
          <c:marker>
            <c:symbol val="circle"/>
            <c:size val="5"/>
            <c:spPr>
              <a:noFill/>
              <a:ln w="19050" cap="rnd" cmpd="sng" algn="ctr">
                <a:noFill/>
                <a:prstDash val="lgDash"/>
                <a:round/>
                <a:headEnd type="none" w="med" len="med"/>
                <a:tailEnd type="none" w="med" len="med"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F79646">
                        <a:lumMod val="60000"/>
                      </a:srgbClr>
                    </a:solidFill>
                  </a14:hiddenFill>
                </a:ext>
                <a:ext uri="{91240B29-F687-4F45-9708-019B960494DF}">
                  <a14:hiddenLine xmlns:a14="http://schemas.microsoft.com/office/drawing/2010/main" w="19050" cap="rnd" cmpd="sng" algn="ctr">
                    <a:solidFill>
                      <a:srgbClr val="B03200"/>
                    </a:solidFill>
                    <a:prstDash val="lgDash"/>
                    <a:round/>
                    <a:headEnd type="none" w="med" len="med"/>
                    <a:tailEnd type="none" w="med" len="med"/>
                  </a14:hiddenLine>
                </a:ext>
              </a:extLst>
            </c:spPr>
          </c:marker>
          <c:xVal>
            <c:numRef>
              <c:f>Tabelle1!$B$76:$B$80</c:f>
              <c:numCache>
                <c:formatCode>General</c:formatCode>
                <c:ptCount val="5"/>
                <c:pt idx="0">
                  <c:v>57.3</c:v>
                </c:pt>
                <c:pt idx="1">
                  <c:v>58.6</c:v>
                </c:pt>
                <c:pt idx="2">
                  <c:v>69.7</c:v>
                </c:pt>
                <c:pt idx="3">
                  <c:v>90.8</c:v>
                </c:pt>
                <c:pt idx="4">
                  <c:v>77.2</c:v>
                </c:pt>
              </c:numCache>
            </c:numRef>
          </c:xVal>
          <c:yVal>
            <c:numRef>
              <c:f>Tabelle1!$A$76:$A$80</c:f>
              <c:numCache>
                <c:formatCode>General</c:formatCode>
                <c:ptCount val="5"/>
                <c:pt idx="0">
                  <c:v>32700</c:v>
                </c:pt>
                <c:pt idx="1">
                  <c:v>32700</c:v>
                </c:pt>
                <c:pt idx="2">
                  <c:v>36177</c:v>
                </c:pt>
                <c:pt idx="3">
                  <c:v>49050</c:v>
                </c:pt>
                <c:pt idx="4">
                  <c:v>54000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481-4D36-A4BD-6A27B9AD0BB1}"/>
            </c:ext>
          </c:extLst>
        </c:ser>
        <c:ser>
          <c:idx val="12"/>
          <c:order val="12"/>
          <c:tx>
            <c:strRef>
              <c:f>Tabelle1!$D$8</c:f>
              <c:strCache>
                <c:ptCount val="1"/>
                <c:pt idx="0">
                  <c:v>Loadsheet</c:v>
                </c:pt>
              </c:strCache>
            </c:strRef>
          </c:tx>
          <c:spPr>
            <a:ln w="44450" cap="rnd" cmpd="sng" algn="ctr">
              <a:solidFill>
                <a:schemeClr val="tx2">
                  <a:lumMod val="60000"/>
                  <a:lumOff val="4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x"/>
            <c:size val="13"/>
            <c:spPr>
              <a:noFill/>
              <a:ln w="28575" cap="rnd" cmpd="sng" algn="ctr">
                <a:solidFill>
                  <a:schemeClr val="tx2">
                    <a:lumMod val="50000"/>
                  </a:scheme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>
                        <a:lumMod val="80000"/>
                        <a:lumOff val="20000"/>
                      </a:srgbClr>
                    </a:solidFill>
                  </a14:hiddenFill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1704D36-5686-41E2-9595-3BC7048D6834}" type="CELLRANGE">
                      <a:rPr lang="de-CH"/>
                      <a:pPr/>
                      <a:t>[ZELLBEREICH]</a:t>
                    </a:fld>
                    <a:r>
                      <a:rPr lang="de-CH" baseline="0"/>
                      <a:t>; </a:t>
                    </a:r>
                    <a:fld id="{D3A38F3D-1570-41F8-9599-4BC0B36C5EE2}" type="XVALUE">
                      <a:rPr lang="de-CH" baseline="0"/>
                      <a:pPr/>
                      <a:t>[X-WERT]</a:t>
                    </a:fld>
                    <a:r>
                      <a:rPr lang="de-CH" baseline="0"/>
                      <a:t>; </a:t>
                    </a:r>
                    <a:fld id="{AEF354CF-230D-4F61-AE45-111E3323327B}" type="YVALUE">
                      <a:rPr lang="de-CH" baseline="0"/>
                      <a:pPr/>
                      <a:t>[Y-WERT]</a:t>
                    </a:fld>
                    <a:endParaRPr lang="de-CH" baseline="0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481-4D36-A4BD-6A27B9AD0BB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AA379E2-BAA9-4BAC-BF8A-315F498F22A6}" type="CELLRANGE">
                      <a:rPr lang="de-CH"/>
                      <a:pPr/>
                      <a:t>[ZELLBEREICH]</a:t>
                    </a:fld>
                    <a:r>
                      <a:rPr lang="de-CH" baseline="0"/>
                      <a:t>; </a:t>
                    </a:r>
                    <a:fld id="{75F6593B-65B5-41D3-88CB-B92E2AA0262F}" type="XVALUE">
                      <a:rPr lang="de-CH" baseline="0"/>
                      <a:pPr/>
                      <a:t>[X-WERT]</a:t>
                    </a:fld>
                    <a:r>
                      <a:rPr lang="de-CH" baseline="0"/>
                      <a:t>; </a:t>
                    </a:r>
                    <a:fld id="{8BF33682-E694-4D3D-BA5E-0F247E58CCB6}" type="YVALUE">
                      <a:rPr lang="de-CH" baseline="0"/>
                      <a:pPr/>
                      <a:t>[Y-WERT]</a:t>
                    </a:fld>
                    <a:endParaRPr lang="de-CH" baseline="0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481-4D36-A4BD-6A27B9AD0BB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5430D29-5FD6-4474-AB16-8C0B56A79701}" type="CELLRANGE">
                      <a:rPr lang="de-CH"/>
                      <a:pPr/>
                      <a:t>[ZELLBEREICH]</a:t>
                    </a:fld>
                    <a:r>
                      <a:rPr lang="de-CH" baseline="0"/>
                      <a:t>; </a:t>
                    </a:r>
                    <a:fld id="{99C17E5C-D583-4469-8B6E-4551D9ACACBC}" type="XVALUE">
                      <a:rPr lang="de-CH" baseline="0"/>
                      <a:pPr/>
                      <a:t>[X-WERT]</a:t>
                    </a:fld>
                    <a:r>
                      <a:rPr lang="de-CH" baseline="0"/>
                      <a:t>; </a:t>
                    </a:r>
                    <a:fld id="{62B09F78-C3D5-4264-BCDC-27572AC48055}" type="YVALUE">
                      <a:rPr lang="de-CH" baseline="0"/>
                      <a:pPr/>
                      <a:t>[Y-WERT]</a:t>
                    </a:fld>
                    <a:endParaRPr lang="de-CH" baseline="0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481-4D36-A4BD-6A27B9AD0B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Tabelle1!$F$9:$F$11</c:f>
              <c:numCache>
                <c:formatCode>0.00</c:formatCode>
                <c:ptCount val="3"/>
                <c:pt idx="0">
                  <c:v>42.436799999999998</c:v>
                </c:pt>
                <c:pt idx="1">
                  <c:v>38.699599999999997</c:v>
                </c:pt>
                <c:pt idx="2">
                  <c:v>38.875839999999997</c:v>
                </c:pt>
              </c:numCache>
            </c:numRef>
          </c:xVal>
          <c:yVal>
            <c:numRef>
              <c:f>Tabelle1!$E$9:$E$11</c:f>
              <c:numCache>
                <c:formatCode>General</c:formatCode>
                <c:ptCount val="3"/>
                <c:pt idx="0">
                  <c:v>35218</c:v>
                </c:pt>
                <c:pt idx="1">
                  <c:v>41518</c:v>
                </c:pt>
                <c:pt idx="2">
                  <c:v>38533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Tabelle1!$D$9:$D$11</c15:f>
                <c15:dlblRangeCache>
                  <c:ptCount val="3"/>
                  <c:pt idx="0">
                    <c:v>Zero Fuel</c:v>
                  </c:pt>
                  <c:pt idx="1">
                    <c:v>Takeoff</c:v>
                  </c:pt>
                  <c:pt idx="2">
                    <c:v>Landing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6-7481-4D36-A4BD-6A27B9AD0BB1}"/>
            </c:ext>
          </c:extLst>
        </c:ser>
        <c:ser>
          <c:idx val="13"/>
          <c:order val="13"/>
          <c:tx>
            <c:v>MTOM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7732690917295711E-3"/>
                  <c:y val="-1.8764658350240132E-2"/>
                </c:manualLayout>
              </c:layout>
              <c:tx>
                <c:rich>
                  <a:bodyPr/>
                  <a:lstStyle/>
                  <a:p>
                    <a:fld id="{C2BFC934-08CF-48C7-8BE0-21BA9886CE61}" type="CELLRANGE">
                      <a:rPr lang="en-US"/>
                      <a:pPr/>
                      <a:t>[ZELLBEREICH]</a:t>
                    </a:fld>
                    <a:endParaRPr lang="de-CH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866-481F-8662-3F463DDDF68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de-CH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866-481F-8662-3F463DDDF6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Tabelle1!$B$83:$B$84</c:f>
              <c:numCache>
                <c:formatCode>General</c:formatCode>
                <c:ptCount val="2"/>
                <c:pt idx="0">
                  <c:v>15</c:v>
                </c:pt>
                <c:pt idx="1">
                  <c:v>95</c:v>
                </c:pt>
              </c:numCache>
            </c:numRef>
          </c:xVal>
          <c:yVal>
            <c:numRef>
              <c:f>Tabelle1!$A$83:$A$84</c:f>
              <c:numCache>
                <c:formatCode>General</c:formatCode>
                <c:ptCount val="2"/>
                <c:pt idx="0">
                  <c:v>54000</c:v>
                </c:pt>
                <c:pt idx="1">
                  <c:v>54000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Tabelle1!$C$83</c15:f>
                <c15:dlblRangeCache>
                  <c:ptCount val="1"/>
                  <c:pt idx="0">
                    <c:v>MTOM 54000 KG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F866-481F-8662-3F463DDDF688}"/>
            </c:ext>
          </c:extLst>
        </c:ser>
        <c:ser>
          <c:idx val="14"/>
          <c:order val="14"/>
          <c:tx>
            <c:v>MLM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7732690917295711E-3"/>
                  <c:y val="-1.8764658350240132E-2"/>
                </c:manualLayout>
              </c:layout>
              <c:tx>
                <c:rich>
                  <a:bodyPr/>
                  <a:lstStyle/>
                  <a:p>
                    <a:fld id="{F50BAF59-E3F4-44AC-9D23-093755AAC413}" type="CELLRANGE">
                      <a:rPr lang="en-US"/>
                      <a:pPr/>
                      <a:t>[ZELLBEREICH]</a:t>
                    </a:fld>
                    <a:endParaRPr lang="de-CH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F866-481F-8662-3F463DDDF68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de-CH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866-481F-8662-3F463DDDF6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Tabelle1!$B$85:$B$86</c:f>
              <c:numCache>
                <c:formatCode>General</c:formatCode>
                <c:ptCount val="2"/>
                <c:pt idx="0">
                  <c:v>15</c:v>
                </c:pt>
                <c:pt idx="1">
                  <c:v>95</c:v>
                </c:pt>
              </c:numCache>
            </c:numRef>
          </c:xVal>
          <c:yVal>
            <c:numRef>
              <c:f>Tabelle1!$A$85:$A$86</c:f>
              <c:numCache>
                <c:formatCode>General</c:formatCode>
                <c:ptCount val="2"/>
                <c:pt idx="0">
                  <c:v>49050</c:v>
                </c:pt>
                <c:pt idx="1">
                  <c:v>49050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Tabelle1!$C$85</c15:f>
                <c15:dlblRangeCache>
                  <c:ptCount val="1"/>
                  <c:pt idx="0">
                    <c:v>MLM 49050 KG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F866-481F-8662-3F463DDDF688}"/>
            </c:ext>
          </c:extLst>
        </c:ser>
        <c:ser>
          <c:idx val="15"/>
          <c:order val="15"/>
          <c:tx>
            <c:v>MZFM</c:v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4.7732690917295711E-3"/>
                  <c:y val="-1.876465835024017E-2"/>
                </c:manualLayout>
              </c:layout>
              <c:tx>
                <c:rich>
                  <a:bodyPr/>
                  <a:lstStyle/>
                  <a:p>
                    <a:fld id="{8477AD8C-E265-48B3-A9F3-047921AC3C80}" type="CELLRANGE">
                      <a:rPr lang="en-US"/>
                      <a:pPr/>
                      <a:t>[ZELLBEREICH]</a:t>
                    </a:fld>
                    <a:endParaRPr lang="de-CH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F866-481F-8662-3F463DDDF68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de-CH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866-481F-8662-3F463DDDF6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Tabelle1!$B$87:$B$88</c:f>
              <c:numCache>
                <c:formatCode>General</c:formatCode>
                <c:ptCount val="2"/>
                <c:pt idx="0">
                  <c:v>15</c:v>
                </c:pt>
                <c:pt idx="1">
                  <c:v>95</c:v>
                </c:pt>
              </c:numCache>
            </c:numRef>
          </c:xVal>
          <c:yVal>
            <c:numRef>
              <c:f>Tabelle1!$A$87:$A$88</c:f>
              <c:numCache>
                <c:formatCode>General</c:formatCode>
                <c:ptCount val="2"/>
                <c:pt idx="0">
                  <c:v>46700</c:v>
                </c:pt>
                <c:pt idx="1">
                  <c:v>46700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Tabelle1!$C$87</c15:f>
                <c15:dlblRangeCache>
                  <c:ptCount val="1"/>
                  <c:pt idx="0">
                    <c:v>MZFM 46700 KG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F866-481F-8662-3F463DDDF688}"/>
            </c:ext>
          </c:extLst>
        </c:ser>
        <c:ser>
          <c:idx val="16"/>
          <c:order val="16"/>
          <c:tx>
            <c:strRef>
              <c:f>Tabelle1!$A$95</c:f>
              <c:strCache>
                <c:ptCount val="1"/>
                <c:pt idx="0">
                  <c:v>Ferry ZFW FWD</c:v>
                </c:pt>
              </c:strCache>
            </c:strRef>
          </c:tx>
          <c:spPr>
            <a:ln w="19050" cap="rnd">
              <a:solidFill>
                <a:srgbClr val="FB9705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B9705"/>
                </a:solidFill>
              </a:ln>
              <a:effectLst/>
            </c:spPr>
          </c:marker>
          <c:xVal>
            <c:numRef>
              <c:f>Tabelle1!$B$96:$B$99</c:f>
              <c:numCache>
                <c:formatCode>General</c:formatCode>
                <c:ptCount val="4"/>
                <c:pt idx="0">
                  <c:v>41.8</c:v>
                </c:pt>
                <c:pt idx="1">
                  <c:v>38</c:v>
                </c:pt>
                <c:pt idx="2">
                  <c:v>29.8</c:v>
                </c:pt>
                <c:pt idx="3">
                  <c:v>88.7</c:v>
                </c:pt>
              </c:numCache>
            </c:numRef>
          </c:xVal>
          <c:yVal>
            <c:numRef>
              <c:f>Tabelle1!$A$96:$A$99</c:f>
              <c:numCache>
                <c:formatCode>General</c:formatCode>
                <c:ptCount val="4"/>
                <c:pt idx="0">
                  <c:v>32700</c:v>
                </c:pt>
                <c:pt idx="1">
                  <c:v>34357</c:v>
                </c:pt>
                <c:pt idx="2">
                  <c:v>46700</c:v>
                </c:pt>
                <c:pt idx="3">
                  <c:v>46700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9-452F-8F96-7509F9C66235}"/>
            </c:ext>
          </c:extLst>
        </c:ser>
        <c:ser>
          <c:idx val="17"/>
          <c:order val="17"/>
          <c:tx>
            <c:strRef>
              <c:f>Tabelle1!$A$102</c:f>
              <c:strCache>
                <c:ptCount val="1"/>
                <c:pt idx="0">
                  <c:v>Ferry ZFW AFT</c:v>
                </c:pt>
              </c:strCache>
            </c:strRef>
          </c:tx>
          <c:spPr>
            <a:ln w="19050" cap="rnd">
              <a:solidFill>
                <a:srgbClr val="FB9705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B9705"/>
                </a:solidFill>
              </a:ln>
              <a:effectLst/>
            </c:spPr>
          </c:marker>
          <c:xVal>
            <c:numRef>
              <c:f>Tabelle1!$B$103:$B$107</c:f>
              <c:numCache>
                <c:formatCode>General</c:formatCode>
                <c:ptCount val="5"/>
                <c:pt idx="0">
                  <c:v>41.8</c:v>
                </c:pt>
                <c:pt idx="1">
                  <c:v>60.1</c:v>
                </c:pt>
                <c:pt idx="2">
                  <c:v>82.7</c:v>
                </c:pt>
                <c:pt idx="3">
                  <c:v>83</c:v>
                </c:pt>
                <c:pt idx="4">
                  <c:v>88.7</c:v>
                </c:pt>
              </c:numCache>
            </c:numRef>
          </c:xVal>
          <c:yVal>
            <c:numRef>
              <c:f>Tabelle1!$A$103:$A$107</c:f>
              <c:numCache>
                <c:formatCode>General</c:formatCode>
                <c:ptCount val="5"/>
                <c:pt idx="0">
                  <c:v>32700</c:v>
                </c:pt>
                <c:pt idx="1">
                  <c:v>32700</c:v>
                </c:pt>
                <c:pt idx="2">
                  <c:v>40000</c:v>
                </c:pt>
                <c:pt idx="3">
                  <c:v>40300</c:v>
                </c:pt>
                <c:pt idx="4">
                  <c:v>46700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A9-452F-8F96-7509F9C66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350448"/>
        <c:axId val="330350864"/>
      </c:scatterChart>
      <c:valAx>
        <c:axId val="330350448"/>
        <c:scaling>
          <c:orientation val="minMax"/>
          <c:max val="95"/>
          <c:min val="15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30350864"/>
        <c:crosses val="autoZero"/>
        <c:crossBetween val="midCat"/>
      </c:valAx>
      <c:valAx>
        <c:axId val="330350864"/>
        <c:scaling>
          <c:orientation val="minMax"/>
          <c:max val="56000"/>
          <c:min val="3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30350448"/>
        <c:crosses val="autoZero"/>
        <c:crossBetween val="midCat"/>
      </c:valAx>
      <c:spPr>
        <a:noFill/>
        <a:ln>
          <a:solidFill>
            <a:sysClr val="windowText" lastClr="000000"/>
          </a:solidFill>
          <a:prstDash val="dash"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190500</xdr:colOff>
      <xdr:row>2</xdr:row>
      <xdr:rowOff>47625</xdr:rowOff>
    </xdr:from>
    <xdr:to>
      <xdr:col>14</xdr:col>
      <xdr:colOff>636339</xdr:colOff>
      <xdr:row>30</xdr:row>
      <xdr:rowOff>54184</xdr:rowOff>
    </xdr:to>
    <xdr:pic>
      <xdr:nvPicPr>
        <xdr:cNvPr id="6" name="Grafik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0" y="428625"/>
          <a:ext cx="9589839" cy="534055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13</xdr:row>
          <xdr:rowOff>66675</xdr:rowOff>
        </xdr:from>
        <xdr:to>
          <xdr:col>3</xdr:col>
          <xdr:colOff>57150</xdr:colOff>
          <xdr:row>14</xdr:row>
          <xdr:rowOff>142875</xdr:rowOff>
        </xdr:to>
        <xdr:sp macro="" textlink="">
          <xdr:nvSpPr>
            <xdr:cNvPr id="11267" name="csCockpitRH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695325</xdr:colOff>
          <xdr:row>17</xdr:row>
          <xdr:rowOff>85725</xdr:rowOff>
        </xdr:from>
        <xdr:to>
          <xdr:col>3</xdr:col>
          <xdr:colOff>123825</xdr:colOff>
          <xdr:row>18</xdr:row>
          <xdr:rowOff>161925</xdr:rowOff>
        </xdr:to>
        <xdr:sp macro="" textlink="">
          <xdr:nvSpPr>
            <xdr:cNvPr id="11268" name="csCockpitLH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9525</xdr:rowOff>
        </xdr:from>
        <xdr:to>
          <xdr:col>4</xdr:col>
          <xdr:colOff>142875</xdr:colOff>
          <xdr:row>18</xdr:row>
          <xdr:rowOff>85725</xdr:rowOff>
        </xdr:to>
        <xdr:sp macro="" textlink="">
          <xdr:nvSpPr>
            <xdr:cNvPr id="11269" name="csCockpitOBS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114300</xdr:rowOff>
        </xdr:from>
        <xdr:to>
          <xdr:col>6</xdr:col>
          <xdr:colOff>152400</xdr:colOff>
          <xdr:row>13</xdr:row>
          <xdr:rowOff>161925</xdr:rowOff>
        </xdr:to>
        <xdr:sp macro="" textlink="">
          <xdr:nvSpPr>
            <xdr:cNvPr id="11270" name="csCabin1R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20</xdr:row>
          <xdr:rowOff>142875</xdr:rowOff>
        </xdr:from>
        <xdr:to>
          <xdr:col>6</xdr:col>
          <xdr:colOff>142875</xdr:colOff>
          <xdr:row>22</xdr:row>
          <xdr:rowOff>28575</xdr:rowOff>
        </xdr:to>
        <xdr:sp macro="" textlink="">
          <xdr:nvSpPr>
            <xdr:cNvPr id="11271" name="csCabin1L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20</xdr:row>
          <xdr:rowOff>142875</xdr:rowOff>
        </xdr:from>
        <xdr:to>
          <xdr:col>10</xdr:col>
          <xdr:colOff>381000</xdr:colOff>
          <xdr:row>22</xdr:row>
          <xdr:rowOff>28575</xdr:rowOff>
        </xdr:to>
        <xdr:sp macro="" textlink="">
          <xdr:nvSpPr>
            <xdr:cNvPr id="11272" name="csCabin2L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0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219075</xdr:colOff>
          <xdr:row>12</xdr:row>
          <xdr:rowOff>95250</xdr:rowOff>
        </xdr:from>
        <xdr:to>
          <xdr:col>10</xdr:col>
          <xdr:colOff>361950</xdr:colOff>
          <xdr:row>13</xdr:row>
          <xdr:rowOff>171450</xdr:rowOff>
        </xdr:to>
        <xdr:sp macro="" textlink="">
          <xdr:nvSpPr>
            <xdr:cNvPr id="11273" name="csCabin2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0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552450</xdr:colOff>
          <xdr:row>12</xdr:row>
          <xdr:rowOff>142875</xdr:rowOff>
        </xdr:from>
        <xdr:to>
          <xdr:col>9</xdr:col>
          <xdr:colOff>695325</xdr:colOff>
          <xdr:row>14</xdr:row>
          <xdr:rowOff>28575</xdr:rowOff>
        </xdr:to>
        <xdr:sp macro="" textlink="">
          <xdr:nvSpPr>
            <xdr:cNvPr id="11274" name="csCabinPax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0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704850</xdr:colOff>
          <xdr:row>30</xdr:row>
          <xdr:rowOff>133350</xdr:rowOff>
        </xdr:from>
        <xdr:to>
          <xdr:col>7</xdr:col>
          <xdr:colOff>457200</xdr:colOff>
          <xdr:row>31</xdr:row>
          <xdr:rowOff>180975</xdr:rowOff>
        </xdr:to>
        <xdr:sp macro="" textlink="">
          <xdr:nvSpPr>
            <xdr:cNvPr id="11277" name="Button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00000000-0008-0000-0000-00000D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23</xdr:row>
          <xdr:rowOff>19050</xdr:rowOff>
        </xdr:from>
        <xdr:to>
          <xdr:col>2</xdr:col>
          <xdr:colOff>28575</xdr:colOff>
          <xdr:row>24</xdr:row>
          <xdr:rowOff>161925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638175</xdr:colOff>
          <xdr:row>22</xdr:row>
          <xdr:rowOff>142875</xdr:rowOff>
        </xdr:from>
        <xdr:to>
          <xdr:col>3</xdr:col>
          <xdr:colOff>561975</xdr:colOff>
          <xdr:row>24</xdr:row>
          <xdr:rowOff>171450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66675</xdr:rowOff>
        </xdr:from>
        <xdr:to>
          <xdr:col>2</xdr:col>
          <xdr:colOff>904875</xdr:colOff>
          <xdr:row>1</xdr:row>
          <xdr:rowOff>180975</xdr:rowOff>
        </xdr:to>
        <xdr:sp macro="" textlink="">
          <xdr:nvSpPr>
            <xdr:cNvPr id="7177" name="btMaleFemale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1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</xdr:row>
          <xdr:rowOff>123825</xdr:rowOff>
        </xdr:from>
        <xdr:to>
          <xdr:col>9</xdr:col>
          <xdr:colOff>19050</xdr:colOff>
          <xdr:row>13</xdr:row>
          <xdr:rowOff>152400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333375</xdr:colOff>
          <xdr:row>12</xdr:row>
          <xdr:rowOff>114300</xdr:rowOff>
        </xdr:from>
        <xdr:to>
          <xdr:col>11</xdr:col>
          <xdr:colOff>104775</xdr:colOff>
          <xdr:row>13</xdr:row>
          <xdr:rowOff>190500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2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104775</xdr:colOff>
      <xdr:row>24</xdr:row>
      <xdr:rowOff>38100</xdr:rowOff>
    </xdr:from>
    <xdr:to>
      <xdr:col>45</xdr:col>
      <xdr:colOff>352425</xdr:colOff>
      <xdr:row>25</xdr:row>
      <xdr:rowOff>9525</xdr:rowOff>
    </xdr:to>
    <xdr:sp macro="" textlink="">
      <xdr:nvSpPr>
        <xdr:cNvPr id="2" name="Text Box 2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10915650" y="5410200"/>
          <a:ext cx="1333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CH" sz="10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</a:t>
          </a:r>
        </a:p>
      </xdr:txBody>
    </xdr:sp>
    <xdr:clientData/>
  </xdr:twoCellAnchor>
  <xdr:twoCellAnchor>
    <xdr:from>
      <xdr:col>24</xdr:col>
      <xdr:colOff>219075</xdr:colOff>
      <xdr:row>19</xdr:row>
      <xdr:rowOff>76200</xdr:rowOff>
    </xdr:from>
    <xdr:to>
      <xdr:col>26</xdr:col>
      <xdr:colOff>42334</xdr:colOff>
      <xdr:row>23</xdr:row>
      <xdr:rowOff>0</xdr:rowOff>
    </xdr:to>
    <xdr:grpSp>
      <xdr:nvGrpSpPr>
        <xdr:cNvPr id="3" name="Group 2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5866840" y="3975847"/>
          <a:ext cx="293906" cy="719418"/>
          <a:chOff x="6304" y="2507"/>
          <a:chExt cx="390" cy="1430"/>
        </a:xfrm>
      </xdr:grpSpPr>
      <xdr:sp macro="" textlink="">
        <xdr:nvSpPr>
          <xdr:cNvPr id="4" name="Line 29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6505" y="2507"/>
            <a:ext cx="0" cy="1430"/>
          </a:xfrm>
          <a:prstGeom prst="line">
            <a:avLst/>
          </a:prstGeom>
          <a:noFill/>
          <a:ln w="1587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" name="Text Box 28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304" y="2994"/>
            <a:ext cx="390" cy="405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ctr" rtl="0">
              <a:defRPr sz="1000"/>
            </a:pPr>
            <a:r>
              <a:rPr lang="de-CH" sz="1000" b="1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+</a:t>
            </a:r>
          </a:p>
        </xdr:txBody>
      </xdr:sp>
    </xdr:grpSp>
    <xdr:clientData/>
  </xdr:twoCellAnchor>
  <xdr:twoCellAnchor>
    <xdr:from>
      <xdr:col>4</xdr:col>
      <xdr:colOff>9525</xdr:colOff>
      <xdr:row>23</xdr:row>
      <xdr:rowOff>95250</xdr:rowOff>
    </xdr:from>
    <xdr:to>
      <xdr:col>6</xdr:col>
      <xdr:colOff>190500</xdr:colOff>
      <xdr:row>23</xdr:row>
      <xdr:rowOff>95250</xdr:rowOff>
    </xdr:to>
    <xdr:sp macro="" textlink="">
      <xdr:nvSpPr>
        <xdr:cNvPr id="6" name="Line 26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 noChangeShapeType="1"/>
        </xdr:cNvSpPr>
      </xdr:nvSpPr>
      <xdr:spPr bwMode="auto">
        <a:xfrm flipV="1">
          <a:off x="962025" y="5267325"/>
          <a:ext cx="657225" cy="0"/>
        </a:xfrm>
        <a:prstGeom prst="line">
          <a:avLst/>
        </a:prstGeom>
        <a:noFill/>
        <a:ln w="15875">
          <a:solidFill>
            <a:srgbClr val="000000"/>
          </a:solidFill>
          <a:prstDash val="lg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228600</xdr:colOff>
      <xdr:row>33</xdr:row>
      <xdr:rowOff>38100</xdr:rowOff>
    </xdr:from>
    <xdr:to>
      <xdr:col>26</xdr:col>
      <xdr:colOff>52917</xdr:colOff>
      <xdr:row>34</xdr:row>
      <xdr:rowOff>142875</xdr:rowOff>
    </xdr:to>
    <xdr:grpSp>
      <xdr:nvGrpSpPr>
        <xdr:cNvPr id="7" name="Group 15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pSpPr>
          <a:grpSpLocks/>
        </xdr:cNvGrpSpPr>
      </xdr:nvGrpSpPr>
      <xdr:grpSpPr bwMode="auto">
        <a:xfrm>
          <a:off x="5876365" y="6739218"/>
          <a:ext cx="294964" cy="306481"/>
          <a:chOff x="6346" y="8594"/>
          <a:chExt cx="390" cy="483"/>
        </a:xfrm>
      </xdr:grpSpPr>
      <xdr:sp macro="" textlink="">
        <xdr:nvSpPr>
          <xdr:cNvPr id="8" name="Line 1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546" y="8594"/>
            <a:ext cx="2" cy="483"/>
          </a:xfrm>
          <a:prstGeom prst="line">
            <a:avLst/>
          </a:prstGeom>
          <a:noFill/>
          <a:ln w="1587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Text Box 16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346" y="8651"/>
            <a:ext cx="390" cy="27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de-CH" sz="1000" b="1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=</a:t>
            </a:r>
          </a:p>
        </xdr:txBody>
      </xdr:sp>
    </xdr:grpSp>
    <xdr:clientData/>
  </xdr:twoCellAnchor>
  <xdr:twoCellAnchor>
    <xdr:from>
      <xdr:col>0</xdr:col>
      <xdr:colOff>95250</xdr:colOff>
      <xdr:row>33</xdr:row>
      <xdr:rowOff>9525</xdr:rowOff>
    </xdr:from>
    <xdr:to>
      <xdr:col>0</xdr:col>
      <xdr:colOff>342900</xdr:colOff>
      <xdr:row>33</xdr:row>
      <xdr:rowOff>180975</xdr:rowOff>
    </xdr:to>
    <xdr:sp macro="" textlink="">
      <xdr:nvSpPr>
        <xdr:cNvPr id="10" name="Text Box 14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>
          <a:spLocks noChangeArrowheads="1"/>
        </xdr:cNvSpPr>
      </xdr:nvSpPr>
      <xdr:spPr bwMode="auto">
        <a:xfrm>
          <a:off x="95250" y="7172325"/>
          <a:ext cx="142875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de-CH" sz="10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</a:t>
          </a:r>
        </a:p>
      </xdr:txBody>
    </xdr:sp>
    <xdr:clientData/>
  </xdr:twoCellAnchor>
  <xdr:twoCellAnchor>
    <xdr:from>
      <xdr:col>25</xdr:col>
      <xdr:colOff>135467</xdr:colOff>
      <xdr:row>27</xdr:row>
      <xdr:rowOff>66675</xdr:rowOff>
    </xdr:from>
    <xdr:to>
      <xdr:col>25</xdr:col>
      <xdr:colOff>135467</xdr:colOff>
      <xdr:row>31</xdr:row>
      <xdr:rowOff>66675</xdr:rowOff>
    </xdr:to>
    <xdr:sp macro="" textlink="">
      <xdr:nvSpPr>
        <xdr:cNvPr id="11" name="Line 21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ShapeType="1"/>
        </xdr:cNvSpPr>
      </xdr:nvSpPr>
      <xdr:spPr bwMode="auto">
        <a:xfrm>
          <a:off x="6088592" y="6038850"/>
          <a:ext cx="0" cy="790575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190500</xdr:colOff>
      <xdr:row>32</xdr:row>
      <xdr:rowOff>76200</xdr:rowOff>
    </xdr:from>
    <xdr:to>
      <xdr:col>13</xdr:col>
      <xdr:colOff>142875</xdr:colOff>
      <xdr:row>32</xdr:row>
      <xdr:rowOff>76200</xdr:rowOff>
    </xdr:to>
    <xdr:sp macro="" textlink="">
      <xdr:nvSpPr>
        <xdr:cNvPr id="12" name="Line 18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>
          <a:spLocks noChangeShapeType="1"/>
        </xdr:cNvSpPr>
      </xdr:nvSpPr>
      <xdr:spPr bwMode="auto">
        <a:xfrm>
          <a:off x="2571750" y="7038975"/>
          <a:ext cx="666750" cy="0"/>
        </a:xfrm>
        <a:prstGeom prst="line">
          <a:avLst/>
        </a:prstGeom>
        <a:noFill/>
        <a:ln w="15875">
          <a:solidFill>
            <a:srgbClr val="000000"/>
          </a:solidFill>
          <a:prstDash val="lg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123825</xdr:colOff>
      <xdr:row>19</xdr:row>
      <xdr:rowOff>49308</xdr:rowOff>
    </xdr:from>
    <xdr:to>
      <xdr:col>46</xdr:col>
      <xdr:colOff>2802</xdr:colOff>
      <xdr:row>20</xdr:row>
      <xdr:rowOff>117664</xdr:rowOff>
    </xdr:to>
    <xdr:sp macro="" textlink="">
      <xdr:nvSpPr>
        <xdr:cNvPr id="13" name="Text Box 30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>
          <a:spLocks noChangeArrowheads="1"/>
        </xdr:cNvSpPr>
      </xdr:nvSpPr>
      <xdr:spPr bwMode="auto">
        <a:xfrm>
          <a:off x="10814237" y="4341161"/>
          <a:ext cx="114300" cy="25885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de-CH" sz="10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</a:t>
          </a:r>
          <a:r>
            <a:rPr lang="de-CH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</a:t>
          </a:r>
        </a:p>
      </xdr:txBody>
    </xdr:sp>
    <xdr:clientData/>
  </xdr:twoCellAnchor>
  <xdr:twoCellAnchor>
    <xdr:from>
      <xdr:col>45</xdr:col>
      <xdr:colOff>123825</xdr:colOff>
      <xdr:row>28</xdr:row>
      <xdr:rowOff>4482</xdr:rowOff>
    </xdr:from>
    <xdr:to>
      <xdr:col>46</xdr:col>
      <xdr:colOff>2802</xdr:colOff>
      <xdr:row>29</xdr:row>
      <xdr:rowOff>72838</xdr:rowOff>
    </xdr:to>
    <xdr:sp macro="" textlink="">
      <xdr:nvSpPr>
        <xdr:cNvPr id="14" name="Text Box 20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>
          <a:spLocks noChangeArrowheads="1"/>
        </xdr:cNvSpPr>
      </xdr:nvSpPr>
      <xdr:spPr bwMode="auto">
        <a:xfrm>
          <a:off x="10814237" y="5708276"/>
          <a:ext cx="114300" cy="258856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de-CH" sz="10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</a:t>
          </a:r>
          <a:r>
            <a:rPr lang="de-CH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</a:t>
          </a:r>
        </a:p>
      </xdr:txBody>
    </xdr:sp>
    <xdr:clientData/>
  </xdr:twoCellAnchor>
  <xdr:twoCellAnchor>
    <xdr:from>
      <xdr:col>24</xdr:col>
      <xdr:colOff>233891</xdr:colOff>
      <xdr:row>28</xdr:row>
      <xdr:rowOff>105834</xdr:rowOff>
    </xdr:from>
    <xdr:to>
      <xdr:col>26</xdr:col>
      <xdr:colOff>31750</xdr:colOff>
      <xdr:row>29</xdr:row>
      <xdr:rowOff>180975</xdr:rowOff>
    </xdr:to>
    <xdr:sp macro="" textlink="">
      <xdr:nvSpPr>
        <xdr:cNvPr id="15" name="Text Box 19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>
          <a:spLocks noChangeArrowheads="1"/>
        </xdr:cNvSpPr>
      </xdr:nvSpPr>
      <xdr:spPr bwMode="auto">
        <a:xfrm>
          <a:off x="5948891" y="6278034"/>
          <a:ext cx="274109" cy="26564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de-CH" sz="10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</a:t>
          </a:r>
          <a:r>
            <a:rPr lang="de-CH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</a:t>
          </a:r>
        </a:p>
      </xdr:txBody>
    </xdr:sp>
    <xdr:clientData/>
  </xdr:twoCellAnchor>
  <xdr:twoCellAnchor>
    <xdr:from>
      <xdr:col>0</xdr:col>
      <xdr:colOff>209550</xdr:colOff>
      <xdr:row>36</xdr:row>
      <xdr:rowOff>19050</xdr:rowOff>
    </xdr:from>
    <xdr:to>
      <xdr:col>1</xdr:col>
      <xdr:colOff>0</xdr:colOff>
      <xdr:row>37</xdr:row>
      <xdr:rowOff>123825</xdr:rowOff>
    </xdr:to>
    <xdr:grpSp>
      <xdr:nvGrpSpPr>
        <xdr:cNvPr id="17" name="Group 11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pSpPr>
          <a:grpSpLocks/>
        </xdr:cNvGrpSpPr>
      </xdr:nvGrpSpPr>
      <xdr:grpSpPr bwMode="auto">
        <a:xfrm>
          <a:off x="209550" y="7325285"/>
          <a:ext cx="25774" cy="306481"/>
          <a:chOff x="6346" y="8594"/>
          <a:chExt cx="390" cy="483"/>
        </a:xfrm>
      </xdr:grpSpPr>
      <xdr:sp macro="" textlink="">
        <xdr:nvSpPr>
          <xdr:cNvPr id="18" name="Line 13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546" y="8594"/>
            <a:ext cx="2" cy="483"/>
          </a:xfrm>
          <a:prstGeom prst="line">
            <a:avLst/>
          </a:prstGeom>
          <a:noFill/>
          <a:ln w="1587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Text Box 12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346" y="8651"/>
            <a:ext cx="390" cy="27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de-CH" sz="1000" b="1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-</a:t>
            </a:r>
          </a:p>
        </xdr:txBody>
      </xdr:sp>
    </xdr:grpSp>
    <xdr:clientData/>
  </xdr:twoCellAnchor>
  <xdr:twoCellAnchor>
    <xdr:from>
      <xdr:col>24</xdr:col>
      <xdr:colOff>228600</xdr:colOff>
      <xdr:row>24</xdr:row>
      <xdr:rowOff>9526</xdr:rowOff>
    </xdr:from>
    <xdr:to>
      <xdr:col>26</xdr:col>
      <xdr:colOff>31750</xdr:colOff>
      <xdr:row>25</xdr:row>
      <xdr:rowOff>169335</xdr:rowOff>
    </xdr:to>
    <xdr:grpSp>
      <xdr:nvGrpSpPr>
        <xdr:cNvPr id="20" name="Group 23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>
          <a:grpSpLocks/>
        </xdr:cNvGrpSpPr>
      </xdr:nvGrpSpPr>
      <xdr:grpSpPr bwMode="auto">
        <a:xfrm>
          <a:off x="5876365" y="4906497"/>
          <a:ext cx="273797" cy="361514"/>
          <a:chOff x="6346" y="8594"/>
          <a:chExt cx="390" cy="483"/>
        </a:xfrm>
      </xdr:grpSpPr>
      <xdr:sp macro="" textlink="">
        <xdr:nvSpPr>
          <xdr:cNvPr id="21" name="Line 25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546" y="8594"/>
            <a:ext cx="2" cy="483"/>
          </a:xfrm>
          <a:prstGeom prst="line">
            <a:avLst/>
          </a:prstGeom>
          <a:noFill/>
          <a:ln w="1587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Text Box 24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346" y="8651"/>
            <a:ext cx="390" cy="27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de-CH" sz="1000" b="1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=</a:t>
            </a:r>
          </a:p>
        </xdr:txBody>
      </xdr:sp>
    </xdr:grpSp>
    <xdr:clientData/>
  </xdr:twoCellAnchor>
  <xdr:twoCellAnchor>
    <xdr:from>
      <xdr:col>10</xdr:col>
      <xdr:colOff>200025</xdr:colOff>
      <xdr:row>38</xdr:row>
      <xdr:rowOff>123825</xdr:rowOff>
    </xdr:from>
    <xdr:to>
      <xdr:col>13</xdr:col>
      <xdr:colOff>152400</xdr:colOff>
      <xdr:row>38</xdr:row>
      <xdr:rowOff>133350</xdr:rowOff>
    </xdr:to>
    <xdr:sp macro="" textlink="">
      <xdr:nvSpPr>
        <xdr:cNvPr id="23" name="Line 10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>
          <a:spLocks noChangeShapeType="1"/>
        </xdr:cNvSpPr>
      </xdr:nvSpPr>
      <xdr:spPr bwMode="auto">
        <a:xfrm flipV="1">
          <a:off x="2581275" y="8286750"/>
          <a:ext cx="666750" cy="9525"/>
        </a:xfrm>
        <a:prstGeom prst="line">
          <a:avLst/>
        </a:prstGeom>
        <a:noFill/>
        <a:ln w="15875">
          <a:solidFill>
            <a:srgbClr val="000000"/>
          </a:solidFill>
          <a:prstDash val="lg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209550</xdr:colOff>
      <xdr:row>39</xdr:row>
      <xdr:rowOff>9525</xdr:rowOff>
    </xdr:from>
    <xdr:to>
      <xdr:col>1</xdr:col>
      <xdr:colOff>0</xdr:colOff>
      <xdr:row>40</xdr:row>
      <xdr:rowOff>114300</xdr:rowOff>
    </xdr:to>
    <xdr:grpSp>
      <xdr:nvGrpSpPr>
        <xdr:cNvPr id="24" name="Group 7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>
          <a:grpSpLocks/>
        </xdr:cNvGrpSpPr>
      </xdr:nvGrpSpPr>
      <xdr:grpSpPr bwMode="auto">
        <a:xfrm>
          <a:off x="209550" y="7920878"/>
          <a:ext cx="25774" cy="306481"/>
          <a:chOff x="6346" y="8594"/>
          <a:chExt cx="390" cy="483"/>
        </a:xfrm>
      </xdr:grpSpPr>
      <xdr:sp macro="" textlink="">
        <xdr:nvSpPr>
          <xdr:cNvPr id="25" name="Line 9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546" y="8594"/>
            <a:ext cx="2" cy="483"/>
          </a:xfrm>
          <a:prstGeom prst="line">
            <a:avLst/>
          </a:prstGeom>
          <a:noFill/>
          <a:ln w="1587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" name="Text Box 8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346" y="8651"/>
            <a:ext cx="390" cy="27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de-CH" sz="1000" b="1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=</a:t>
            </a:r>
          </a:p>
        </xdr:txBody>
      </xdr:sp>
    </xdr:grpSp>
    <xdr:clientData/>
  </xdr:twoCellAnchor>
  <xdr:twoCellAnchor>
    <xdr:from>
      <xdr:col>1</xdr:col>
      <xdr:colOff>0</xdr:colOff>
      <xdr:row>54</xdr:row>
      <xdr:rowOff>85725</xdr:rowOff>
    </xdr:from>
    <xdr:to>
      <xdr:col>2</xdr:col>
      <xdr:colOff>609600</xdr:colOff>
      <xdr:row>54</xdr:row>
      <xdr:rowOff>85725</xdr:rowOff>
    </xdr:to>
    <xdr:sp macro="" textlink="">
      <xdr:nvSpPr>
        <xdr:cNvPr id="27" name="Line 2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>
          <a:spLocks noChangeShapeType="1"/>
        </xdr:cNvSpPr>
      </xdr:nvSpPr>
      <xdr:spPr bwMode="auto">
        <a:xfrm flipV="1">
          <a:off x="238125" y="11420475"/>
          <a:ext cx="47625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152400</xdr:colOff>
      <xdr:row>54</xdr:row>
      <xdr:rowOff>9525</xdr:rowOff>
    </xdr:from>
    <xdr:to>
      <xdr:col>0</xdr:col>
      <xdr:colOff>371475</xdr:colOff>
      <xdr:row>54</xdr:row>
      <xdr:rowOff>152400</xdr:rowOff>
    </xdr:to>
    <xdr:sp macro="" textlink="">
      <xdr:nvSpPr>
        <xdr:cNvPr id="28" name="Text Box 1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SpPr txBox="1">
          <a:spLocks noChangeArrowheads="1"/>
        </xdr:cNvSpPr>
      </xdr:nvSpPr>
      <xdr:spPr bwMode="auto">
        <a:xfrm>
          <a:off x="152400" y="11344275"/>
          <a:ext cx="85725" cy="1428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CH" sz="10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</a:t>
          </a:r>
          <a:r>
            <a:rPr lang="de-CH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</a:t>
          </a:r>
        </a:p>
      </xdr:txBody>
    </xdr:sp>
    <xdr:clientData/>
  </xdr:twoCellAnchor>
  <xdr:twoCellAnchor>
    <xdr:from>
      <xdr:col>42</xdr:col>
      <xdr:colOff>9525</xdr:colOff>
      <xdr:row>49</xdr:row>
      <xdr:rowOff>19050</xdr:rowOff>
    </xdr:from>
    <xdr:to>
      <xdr:col>43</xdr:col>
      <xdr:colOff>0</xdr:colOff>
      <xdr:row>53</xdr:row>
      <xdr:rowOff>152400</xdr:rowOff>
    </xdr:to>
    <xdr:grpSp>
      <xdr:nvGrpSpPr>
        <xdr:cNvPr id="29" name="Group 4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pSpPr>
          <a:grpSpLocks/>
        </xdr:cNvGrpSpPr>
      </xdr:nvGrpSpPr>
      <xdr:grpSpPr bwMode="auto">
        <a:xfrm>
          <a:off x="9993966" y="9782735"/>
          <a:ext cx="225799" cy="0"/>
          <a:chOff x="10058" y="12095"/>
          <a:chExt cx="495" cy="1459"/>
        </a:xfrm>
      </xdr:grpSpPr>
      <xdr:sp macro="" textlink="">
        <xdr:nvSpPr>
          <xdr:cNvPr id="30" name="Line 6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058" y="13541"/>
            <a:ext cx="494" cy="1"/>
          </a:xfrm>
          <a:prstGeom prst="line">
            <a:avLst/>
          </a:prstGeom>
          <a:noFill/>
          <a:ln w="158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1" name="Line 5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549" y="12095"/>
            <a:ext cx="4" cy="1459"/>
          </a:xfrm>
          <a:prstGeom prst="line">
            <a:avLst/>
          </a:prstGeom>
          <a:noFill/>
          <a:ln w="1587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44</xdr:col>
      <xdr:colOff>742950</xdr:colOff>
      <xdr:row>51</xdr:row>
      <xdr:rowOff>66675</xdr:rowOff>
    </xdr:from>
    <xdr:to>
      <xdr:col>45</xdr:col>
      <xdr:colOff>228600</xdr:colOff>
      <xdr:row>52</xdr:row>
      <xdr:rowOff>38100</xdr:rowOff>
    </xdr:to>
    <xdr:sp macro="" textlink="">
      <xdr:nvSpPr>
        <xdr:cNvPr id="32" name="Text Box 3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 txBox="1">
          <a:spLocks noChangeArrowheads="1"/>
        </xdr:cNvSpPr>
      </xdr:nvSpPr>
      <xdr:spPr bwMode="auto">
        <a:xfrm>
          <a:off x="10810875" y="10801350"/>
          <a:ext cx="22860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de-CH" sz="10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</a:t>
          </a:r>
        </a:p>
      </xdr:txBody>
    </xdr:sp>
    <xdr:clientData/>
  </xdr:twoCellAnchor>
  <xdr:twoCellAnchor>
    <xdr:from>
      <xdr:col>24</xdr:col>
      <xdr:colOff>228599</xdr:colOff>
      <xdr:row>7</xdr:row>
      <xdr:rowOff>57152</xdr:rowOff>
    </xdr:from>
    <xdr:to>
      <xdr:col>26</xdr:col>
      <xdr:colOff>31749</xdr:colOff>
      <xdr:row>16</xdr:row>
      <xdr:rowOff>180978</xdr:rowOff>
    </xdr:to>
    <xdr:grpSp>
      <xdr:nvGrpSpPr>
        <xdr:cNvPr id="33" name="Group 33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pSpPr>
          <a:grpSpLocks/>
        </xdr:cNvGrpSpPr>
      </xdr:nvGrpSpPr>
      <xdr:grpSpPr bwMode="auto">
        <a:xfrm>
          <a:off x="5876364" y="1782858"/>
          <a:ext cx="273797" cy="1703855"/>
          <a:chOff x="6304" y="2507"/>
          <a:chExt cx="390" cy="1430"/>
        </a:xfrm>
      </xdr:grpSpPr>
      <xdr:sp macro="" textlink="">
        <xdr:nvSpPr>
          <xdr:cNvPr id="34" name="Line 35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>
            <a:spLocks noChangeShapeType="1"/>
          </xdr:cNvSpPr>
        </xdr:nvSpPr>
        <xdr:spPr bwMode="auto">
          <a:xfrm>
            <a:off x="6505" y="2507"/>
            <a:ext cx="0" cy="1430"/>
          </a:xfrm>
          <a:prstGeom prst="line">
            <a:avLst/>
          </a:prstGeom>
          <a:noFill/>
          <a:ln w="1587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Text Box 34">
            <a:extLst>
              <a:ext uri="{FF2B5EF4-FFF2-40B4-BE49-F238E27FC236}">
                <a16:creationId xmlns:a16="http://schemas.microsoft.com/office/drawing/2014/main" id="{00000000-0008-0000-0300-000023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304" y="2994"/>
            <a:ext cx="390" cy="405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ctr" rtl="0">
              <a:defRPr sz="1000"/>
            </a:pPr>
            <a:r>
              <a:rPr lang="de-CH" sz="1000" b="1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+</a:t>
            </a:r>
          </a:p>
        </xdr:txBody>
      </xdr:sp>
    </xdr:grpSp>
    <xdr:clientData/>
  </xdr:twoCellAnchor>
  <xdr:twoCellAnchor>
    <xdr:from>
      <xdr:col>45</xdr:col>
      <xdr:colOff>123825</xdr:colOff>
      <xdr:row>7</xdr:row>
      <xdr:rowOff>57150</xdr:rowOff>
    </xdr:from>
    <xdr:to>
      <xdr:col>45</xdr:col>
      <xdr:colOff>371475</xdr:colOff>
      <xdr:row>8</xdr:row>
      <xdr:rowOff>123825</xdr:rowOff>
    </xdr:to>
    <xdr:sp macro="" textlink="">
      <xdr:nvSpPr>
        <xdr:cNvPr id="36" name="Text Box 32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 txBox="1">
          <a:spLocks noChangeArrowheads="1"/>
        </xdr:cNvSpPr>
      </xdr:nvSpPr>
      <xdr:spPr bwMode="auto">
        <a:xfrm>
          <a:off x="10934700" y="1457325"/>
          <a:ext cx="114300" cy="257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de-CH" sz="10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</a:t>
          </a:r>
          <a:r>
            <a:rPr lang="de-CH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104775</xdr:colOff>
          <xdr:row>3</xdr:row>
          <xdr:rowOff>95250</xdr:rowOff>
        </xdr:from>
        <xdr:to>
          <xdr:col>35</xdr:col>
          <xdr:colOff>142875</xdr:colOff>
          <xdr:row>4</xdr:row>
          <xdr:rowOff>152400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3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Crew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218515</xdr:colOff>
      <xdr:row>18</xdr:row>
      <xdr:rowOff>102532</xdr:rowOff>
    </xdr:from>
    <xdr:to>
      <xdr:col>13</xdr:col>
      <xdr:colOff>170890</xdr:colOff>
      <xdr:row>18</xdr:row>
      <xdr:rowOff>102532</xdr:rowOff>
    </xdr:to>
    <xdr:sp macro="" textlink="">
      <xdr:nvSpPr>
        <xdr:cNvPr id="40" name="Line 18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>
          <a:spLocks noChangeShapeType="1"/>
        </xdr:cNvSpPr>
      </xdr:nvSpPr>
      <xdr:spPr bwMode="auto">
        <a:xfrm>
          <a:off x="2571750" y="4215091"/>
          <a:ext cx="658346" cy="0"/>
        </a:xfrm>
        <a:prstGeom prst="line">
          <a:avLst/>
        </a:prstGeom>
        <a:noFill/>
        <a:ln w="15875">
          <a:solidFill>
            <a:srgbClr val="000000"/>
          </a:solidFill>
          <a:prstDash val="lg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66675</xdr:colOff>
          <xdr:row>9</xdr:row>
          <xdr:rowOff>171450</xdr:rowOff>
        </xdr:from>
        <xdr:to>
          <xdr:col>31</xdr:col>
          <xdr:colOff>0</xdr:colOff>
          <xdr:row>13</xdr:row>
          <xdr:rowOff>57150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3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PAX via Section Trim</a:t>
              </a:r>
            </a:p>
            <a:p>
              <a:pPr algn="ctr" rtl="0">
                <a:defRPr sz="1000"/>
              </a:pPr>
              <a:endParaRPr lang="de-CH" sz="1100" b="1" i="0" u="none" strike="noStrike" baseline="0">
                <a:solidFill>
                  <a:srgbClr val="0000FF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123825</xdr:colOff>
          <xdr:row>9</xdr:row>
          <xdr:rowOff>200025</xdr:rowOff>
        </xdr:from>
        <xdr:to>
          <xdr:col>36</xdr:col>
          <xdr:colOff>209550</xdr:colOff>
          <xdr:row>13</xdr:row>
          <xdr:rowOff>85725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3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Add PAX via Seatrow Trim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114300</xdr:colOff>
          <xdr:row>10</xdr:row>
          <xdr:rowOff>0</xdr:rowOff>
        </xdr:from>
        <xdr:to>
          <xdr:col>55</xdr:col>
          <xdr:colOff>9525</xdr:colOff>
          <xdr:row>26</xdr:row>
          <xdr:rowOff>142875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3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104775</xdr:colOff>
      <xdr:row>27</xdr:row>
      <xdr:rowOff>38100</xdr:rowOff>
    </xdr:from>
    <xdr:to>
      <xdr:col>45</xdr:col>
      <xdr:colOff>352425</xdr:colOff>
      <xdr:row>28</xdr:row>
      <xdr:rowOff>9525</xdr:rowOff>
    </xdr:to>
    <xdr:sp macro="" textlink="">
      <xdr:nvSpPr>
        <xdr:cNvPr id="1046" name="Text Box 22">
          <a:extLst>
            <a:ext uri="{FF2B5EF4-FFF2-40B4-BE49-F238E27FC236}">
              <a16:creationId xmlns:a16="http://schemas.microsoft.com/office/drawing/2014/main" id="{00000000-0008-0000-0500-000016040000}"/>
            </a:ext>
          </a:extLst>
        </xdr:cNvPr>
        <xdr:cNvSpPr txBox="1">
          <a:spLocks noChangeArrowheads="1"/>
        </xdr:cNvSpPr>
      </xdr:nvSpPr>
      <xdr:spPr bwMode="auto">
        <a:xfrm>
          <a:off x="34394775" y="4210050"/>
          <a:ext cx="2476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de-CH" sz="10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</a:t>
          </a:r>
        </a:p>
      </xdr:txBody>
    </xdr:sp>
    <xdr:clientData/>
  </xdr:twoCellAnchor>
  <xdr:twoCellAnchor>
    <xdr:from>
      <xdr:col>24</xdr:col>
      <xdr:colOff>219075</xdr:colOff>
      <xdr:row>20</xdr:row>
      <xdr:rowOff>76200</xdr:rowOff>
    </xdr:from>
    <xdr:to>
      <xdr:col>26</xdr:col>
      <xdr:colOff>42334</xdr:colOff>
      <xdr:row>25</xdr:row>
      <xdr:rowOff>190500</xdr:rowOff>
    </xdr:to>
    <xdr:grpSp>
      <xdr:nvGrpSpPr>
        <xdr:cNvPr id="1051" name="Group 27">
          <a:extLst>
            <a:ext uri="{FF2B5EF4-FFF2-40B4-BE49-F238E27FC236}">
              <a16:creationId xmlns:a16="http://schemas.microsoft.com/office/drawing/2014/main" id="{00000000-0008-0000-0500-00001B040000}"/>
            </a:ext>
          </a:extLst>
        </xdr:cNvPr>
        <xdr:cNvGrpSpPr>
          <a:grpSpLocks/>
        </xdr:cNvGrpSpPr>
      </xdr:nvGrpSpPr>
      <xdr:grpSpPr bwMode="auto">
        <a:xfrm>
          <a:off x="5866840" y="4087906"/>
          <a:ext cx="293906" cy="1111623"/>
          <a:chOff x="6304" y="2507"/>
          <a:chExt cx="390" cy="1430"/>
        </a:xfrm>
      </xdr:grpSpPr>
      <xdr:sp macro="" textlink="">
        <xdr:nvSpPr>
          <xdr:cNvPr id="1053" name="Line 29">
            <a:extLst>
              <a:ext uri="{FF2B5EF4-FFF2-40B4-BE49-F238E27FC236}">
                <a16:creationId xmlns:a16="http://schemas.microsoft.com/office/drawing/2014/main" id="{00000000-0008-0000-0500-00001D040000}"/>
              </a:ext>
            </a:extLst>
          </xdr:cNvPr>
          <xdr:cNvSpPr>
            <a:spLocks noChangeShapeType="1"/>
          </xdr:cNvSpPr>
        </xdr:nvSpPr>
        <xdr:spPr bwMode="auto">
          <a:xfrm>
            <a:off x="6505" y="2507"/>
            <a:ext cx="0" cy="1430"/>
          </a:xfrm>
          <a:prstGeom prst="line">
            <a:avLst/>
          </a:prstGeom>
          <a:noFill/>
          <a:ln w="1587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2" name="Text Box 28">
            <a:extLst>
              <a:ext uri="{FF2B5EF4-FFF2-40B4-BE49-F238E27FC236}">
                <a16:creationId xmlns:a16="http://schemas.microsoft.com/office/drawing/2014/main" id="{00000000-0008-0000-0500-00001C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304" y="2994"/>
            <a:ext cx="390" cy="405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ctr" rtl="0">
              <a:defRPr sz="1000"/>
            </a:pPr>
            <a:r>
              <a:rPr lang="de-CH" sz="1000" b="1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+</a:t>
            </a:r>
          </a:p>
        </xdr:txBody>
      </xdr:sp>
    </xdr:grpSp>
    <xdr:clientData/>
  </xdr:twoCellAnchor>
  <xdr:twoCellAnchor>
    <xdr:from>
      <xdr:col>4</xdr:col>
      <xdr:colOff>9525</xdr:colOff>
      <xdr:row>26</xdr:row>
      <xdr:rowOff>95250</xdr:rowOff>
    </xdr:from>
    <xdr:to>
      <xdr:col>6</xdr:col>
      <xdr:colOff>190500</xdr:colOff>
      <xdr:row>26</xdr:row>
      <xdr:rowOff>95250</xdr:rowOff>
    </xdr:to>
    <xdr:sp macro="" textlink="">
      <xdr:nvSpPr>
        <xdr:cNvPr id="1050" name="Line 26">
          <a:extLst>
            <a:ext uri="{FF2B5EF4-FFF2-40B4-BE49-F238E27FC236}">
              <a16:creationId xmlns:a16="http://schemas.microsoft.com/office/drawing/2014/main" id="{00000000-0008-0000-0500-00001A040000}"/>
            </a:ext>
          </a:extLst>
        </xdr:cNvPr>
        <xdr:cNvSpPr>
          <a:spLocks noChangeShapeType="1"/>
        </xdr:cNvSpPr>
      </xdr:nvSpPr>
      <xdr:spPr bwMode="auto">
        <a:xfrm flipV="1">
          <a:off x="3057525" y="4067175"/>
          <a:ext cx="1704975" cy="0"/>
        </a:xfrm>
        <a:prstGeom prst="line">
          <a:avLst/>
        </a:prstGeom>
        <a:noFill/>
        <a:ln w="15875">
          <a:solidFill>
            <a:srgbClr val="000000"/>
          </a:solidFill>
          <a:prstDash val="lg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228600</xdr:colOff>
      <xdr:row>36</xdr:row>
      <xdr:rowOff>38100</xdr:rowOff>
    </xdr:from>
    <xdr:to>
      <xdr:col>26</xdr:col>
      <xdr:colOff>52917</xdr:colOff>
      <xdr:row>37</xdr:row>
      <xdr:rowOff>142875</xdr:rowOff>
    </xdr:to>
    <xdr:grpSp>
      <xdr:nvGrpSpPr>
        <xdr:cNvPr id="1039" name="Group 15">
          <a:extLst>
            <a:ext uri="{FF2B5EF4-FFF2-40B4-BE49-F238E27FC236}">
              <a16:creationId xmlns:a16="http://schemas.microsoft.com/office/drawing/2014/main" id="{00000000-0008-0000-0500-00000F040000}"/>
            </a:ext>
          </a:extLst>
        </xdr:cNvPr>
        <xdr:cNvGrpSpPr>
          <a:grpSpLocks/>
        </xdr:cNvGrpSpPr>
      </xdr:nvGrpSpPr>
      <xdr:grpSpPr bwMode="auto">
        <a:xfrm>
          <a:off x="5876365" y="7254688"/>
          <a:ext cx="294964" cy="306481"/>
          <a:chOff x="6346" y="8594"/>
          <a:chExt cx="390" cy="483"/>
        </a:xfrm>
      </xdr:grpSpPr>
      <xdr:sp macro="" textlink="">
        <xdr:nvSpPr>
          <xdr:cNvPr id="1041" name="Line 17">
            <a:extLst>
              <a:ext uri="{FF2B5EF4-FFF2-40B4-BE49-F238E27FC236}">
                <a16:creationId xmlns:a16="http://schemas.microsoft.com/office/drawing/2014/main" id="{00000000-0008-0000-0500-00001104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546" y="8594"/>
            <a:ext cx="2" cy="483"/>
          </a:xfrm>
          <a:prstGeom prst="line">
            <a:avLst/>
          </a:prstGeom>
          <a:noFill/>
          <a:ln w="1587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40" name="Text Box 16">
            <a:extLst>
              <a:ext uri="{FF2B5EF4-FFF2-40B4-BE49-F238E27FC236}">
                <a16:creationId xmlns:a16="http://schemas.microsoft.com/office/drawing/2014/main" id="{00000000-0008-0000-0500-000010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346" y="8651"/>
            <a:ext cx="390" cy="27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de-CH" sz="1000" b="1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=</a:t>
            </a:r>
          </a:p>
        </xdr:txBody>
      </xdr:sp>
    </xdr:grpSp>
    <xdr:clientData/>
  </xdr:twoCellAnchor>
  <xdr:twoCellAnchor>
    <xdr:from>
      <xdr:col>0</xdr:col>
      <xdr:colOff>95250</xdr:colOff>
      <xdr:row>36</xdr:row>
      <xdr:rowOff>9525</xdr:rowOff>
    </xdr:from>
    <xdr:to>
      <xdr:col>0</xdr:col>
      <xdr:colOff>342900</xdr:colOff>
      <xdr:row>36</xdr:row>
      <xdr:rowOff>180975</xdr:rowOff>
    </xdr:to>
    <xdr:sp macro="" textlink="">
      <xdr:nvSpPr>
        <xdr:cNvPr id="1038" name="Text Box 14">
          <a:extLst>
            <a:ext uri="{FF2B5EF4-FFF2-40B4-BE49-F238E27FC236}">
              <a16:creationId xmlns:a16="http://schemas.microsoft.com/office/drawing/2014/main" id="{00000000-0008-0000-0500-00000E040000}"/>
            </a:ext>
          </a:extLst>
        </xdr:cNvPr>
        <xdr:cNvSpPr txBox="1">
          <a:spLocks noChangeArrowheads="1"/>
        </xdr:cNvSpPr>
      </xdr:nvSpPr>
      <xdr:spPr bwMode="auto">
        <a:xfrm>
          <a:off x="95250" y="5972175"/>
          <a:ext cx="2476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de-CH" sz="10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</a:t>
          </a:r>
        </a:p>
      </xdr:txBody>
    </xdr:sp>
    <xdr:clientData/>
  </xdr:twoCellAnchor>
  <xdr:twoCellAnchor>
    <xdr:from>
      <xdr:col>25</xdr:col>
      <xdr:colOff>135467</xdr:colOff>
      <xdr:row>30</xdr:row>
      <xdr:rowOff>66675</xdr:rowOff>
    </xdr:from>
    <xdr:to>
      <xdr:col>25</xdr:col>
      <xdr:colOff>135467</xdr:colOff>
      <xdr:row>34</xdr:row>
      <xdr:rowOff>66675</xdr:rowOff>
    </xdr:to>
    <xdr:sp macro="" textlink="">
      <xdr:nvSpPr>
        <xdr:cNvPr id="1045" name="Line 21">
          <a:extLst>
            <a:ext uri="{FF2B5EF4-FFF2-40B4-BE49-F238E27FC236}">
              <a16:creationId xmlns:a16="http://schemas.microsoft.com/office/drawing/2014/main" id="{00000000-0008-0000-0500-000015040000}"/>
            </a:ext>
          </a:extLst>
        </xdr:cNvPr>
        <xdr:cNvSpPr>
          <a:spLocks noChangeShapeType="1"/>
        </xdr:cNvSpPr>
      </xdr:nvSpPr>
      <xdr:spPr bwMode="auto">
        <a:xfrm>
          <a:off x="6220884" y="4860925"/>
          <a:ext cx="0" cy="79375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190500</xdr:colOff>
      <xdr:row>35</xdr:row>
      <xdr:rowOff>76200</xdr:rowOff>
    </xdr:from>
    <xdr:to>
      <xdr:col>13</xdr:col>
      <xdr:colOff>142875</xdr:colOff>
      <xdr:row>35</xdr:row>
      <xdr:rowOff>76200</xdr:rowOff>
    </xdr:to>
    <xdr:sp macro="" textlink="">
      <xdr:nvSpPr>
        <xdr:cNvPr id="1042" name="Line 18">
          <a:extLst>
            <a:ext uri="{FF2B5EF4-FFF2-40B4-BE49-F238E27FC236}">
              <a16:creationId xmlns:a16="http://schemas.microsoft.com/office/drawing/2014/main" id="{00000000-0008-0000-0500-000012040000}"/>
            </a:ext>
          </a:extLst>
        </xdr:cNvPr>
        <xdr:cNvSpPr>
          <a:spLocks noChangeShapeType="1"/>
        </xdr:cNvSpPr>
      </xdr:nvSpPr>
      <xdr:spPr bwMode="auto">
        <a:xfrm>
          <a:off x="2571750" y="5838825"/>
          <a:ext cx="666750" cy="0"/>
        </a:xfrm>
        <a:prstGeom prst="line">
          <a:avLst/>
        </a:prstGeom>
        <a:noFill/>
        <a:ln w="15875">
          <a:solidFill>
            <a:srgbClr val="000000"/>
          </a:solidFill>
          <a:prstDash val="lg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123825</xdr:colOff>
      <xdr:row>19</xdr:row>
      <xdr:rowOff>38100</xdr:rowOff>
    </xdr:from>
    <xdr:to>
      <xdr:col>45</xdr:col>
      <xdr:colOff>371475</xdr:colOff>
      <xdr:row>20</xdr:row>
      <xdr:rowOff>95250</xdr:rowOff>
    </xdr:to>
    <xdr:sp macro="" textlink="">
      <xdr:nvSpPr>
        <xdr:cNvPr id="1054" name="Text Box 30">
          <a:extLst>
            <a:ext uri="{FF2B5EF4-FFF2-40B4-BE49-F238E27FC236}">
              <a16:creationId xmlns:a16="http://schemas.microsoft.com/office/drawing/2014/main" id="{00000000-0008-0000-0500-00001E040000}"/>
            </a:ext>
          </a:extLst>
        </xdr:cNvPr>
        <xdr:cNvSpPr txBox="1">
          <a:spLocks noChangeArrowheads="1"/>
        </xdr:cNvSpPr>
      </xdr:nvSpPr>
      <xdr:spPr bwMode="auto">
        <a:xfrm>
          <a:off x="34413825" y="2619375"/>
          <a:ext cx="247650" cy="257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de-CH" sz="10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</a:t>
          </a:r>
          <a:r>
            <a:rPr lang="de-CH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</a:t>
          </a:r>
        </a:p>
      </xdr:txBody>
    </xdr:sp>
    <xdr:clientData/>
  </xdr:twoCellAnchor>
  <xdr:twoCellAnchor>
    <xdr:from>
      <xdr:col>45</xdr:col>
      <xdr:colOff>123825</xdr:colOff>
      <xdr:row>30</xdr:row>
      <xdr:rowOff>38100</xdr:rowOff>
    </xdr:from>
    <xdr:to>
      <xdr:col>45</xdr:col>
      <xdr:colOff>371475</xdr:colOff>
      <xdr:row>31</xdr:row>
      <xdr:rowOff>95250</xdr:rowOff>
    </xdr:to>
    <xdr:sp macro="" textlink="">
      <xdr:nvSpPr>
        <xdr:cNvPr id="1044" name="Text Box 20">
          <a:extLst>
            <a:ext uri="{FF2B5EF4-FFF2-40B4-BE49-F238E27FC236}">
              <a16:creationId xmlns:a16="http://schemas.microsoft.com/office/drawing/2014/main" id="{00000000-0008-0000-0500-000014040000}"/>
            </a:ext>
          </a:extLst>
        </xdr:cNvPr>
        <xdr:cNvSpPr txBox="1">
          <a:spLocks noChangeArrowheads="1"/>
        </xdr:cNvSpPr>
      </xdr:nvSpPr>
      <xdr:spPr bwMode="auto">
        <a:xfrm>
          <a:off x="34413825" y="4810125"/>
          <a:ext cx="247650" cy="257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de-CH" sz="10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</a:t>
          </a:r>
          <a:r>
            <a:rPr lang="de-CH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</a:t>
          </a:r>
        </a:p>
      </xdr:txBody>
    </xdr:sp>
    <xdr:clientData/>
  </xdr:twoCellAnchor>
  <xdr:twoCellAnchor>
    <xdr:from>
      <xdr:col>24</xdr:col>
      <xdr:colOff>233891</xdr:colOff>
      <xdr:row>31</xdr:row>
      <xdr:rowOff>105834</xdr:rowOff>
    </xdr:from>
    <xdr:to>
      <xdr:col>26</xdr:col>
      <xdr:colOff>31750</xdr:colOff>
      <xdr:row>32</xdr:row>
      <xdr:rowOff>180975</xdr:rowOff>
    </xdr:to>
    <xdr:sp macro="" textlink="">
      <xdr:nvSpPr>
        <xdr:cNvPr id="1043" name="Text Box 19">
          <a:extLst>
            <a:ext uri="{FF2B5EF4-FFF2-40B4-BE49-F238E27FC236}">
              <a16:creationId xmlns:a16="http://schemas.microsoft.com/office/drawing/2014/main" id="{00000000-0008-0000-0500-000013040000}"/>
            </a:ext>
          </a:extLst>
        </xdr:cNvPr>
        <xdr:cNvSpPr txBox="1">
          <a:spLocks noChangeArrowheads="1"/>
        </xdr:cNvSpPr>
      </xdr:nvSpPr>
      <xdr:spPr bwMode="auto">
        <a:xfrm>
          <a:off x="6075891" y="5101167"/>
          <a:ext cx="284692" cy="26564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de-CH" sz="10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</a:t>
          </a:r>
          <a:r>
            <a:rPr lang="de-CH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</a:t>
          </a:r>
        </a:p>
      </xdr:txBody>
    </xdr:sp>
    <xdr:clientData/>
  </xdr:twoCellAnchor>
  <xdr:twoCellAnchor>
    <xdr:from>
      <xdr:col>11</xdr:col>
      <xdr:colOff>19050</xdr:colOff>
      <xdr:row>19</xdr:row>
      <xdr:rowOff>104775</xdr:rowOff>
    </xdr:from>
    <xdr:to>
      <xdr:col>12</xdr:col>
      <xdr:colOff>209550</xdr:colOff>
      <xdr:row>19</xdr:row>
      <xdr:rowOff>104775</xdr:rowOff>
    </xdr:to>
    <xdr:sp macro="" textlink="">
      <xdr:nvSpPr>
        <xdr:cNvPr id="1055" name="Line 31">
          <a:extLst>
            <a:ext uri="{FF2B5EF4-FFF2-40B4-BE49-F238E27FC236}">
              <a16:creationId xmlns:a16="http://schemas.microsoft.com/office/drawing/2014/main" id="{00000000-0008-0000-0500-00001F040000}"/>
            </a:ext>
          </a:extLst>
        </xdr:cNvPr>
        <xdr:cNvSpPr>
          <a:spLocks noChangeShapeType="1"/>
        </xdr:cNvSpPr>
      </xdr:nvSpPr>
      <xdr:spPr bwMode="auto">
        <a:xfrm flipV="1">
          <a:off x="2638425" y="2686050"/>
          <a:ext cx="428625" cy="0"/>
        </a:xfrm>
        <a:prstGeom prst="line">
          <a:avLst/>
        </a:prstGeom>
        <a:noFill/>
        <a:ln w="15875">
          <a:solidFill>
            <a:srgbClr val="000000"/>
          </a:solidFill>
          <a:prstDash val="lg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209550</xdr:colOff>
      <xdr:row>39</xdr:row>
      <xdr:rowOff>19050</xdr:rowOff>
    </xdr:from>
    <xdr:to>
      <xdr:col>0</xdr:col>
      <xdr:colOff>457200</xdr:colOff>
      <xdr:row>40</xdr:row>
      <xdr:rowOff>123825</xdr:rowOff>
    </xdr:to>
    <xdr:grpSp>
      <xdr:nvGrpSpPr>
        <xdr:cNvPr id="1035" name="Group 11">
          <a:extLst>
            <a:ext uri="{FF2B5EF4-FFF2-40B4-BE49-F238E27FC236}">
              <a16:creationId xmlns:a16="http://schemas.microsoft.com/office/drawing/2014/main" id="{00000000-0008-0000-0500-00000B040000}"/>
            </a:ext>
          </a:extLst>
        </xdr:cNvPr>
        <xdr:cNvGrpSpPr>
          <a:grpSpLocks/>
        </xdr:cNvGrpSpPr>
      </xdr:nvGrpSpPr>
      <xdr:grpSpPr bwMode="auto">
        <a:xfrm>
          <a:off x="209550" y="7840756"/>
          <a:ext cx="28575" cy="306481"/>
          <a:chOff x="6346" y="8594"/>
          <a:chExt cx="390" cy="483"/>
        </a:xfrm>
      </xdr:grpSpPr>
      <xdr:sp macro="" textlink="">
        <xdr:nvSpPr>
          <xdr:cNvPr id="1037" name="Line 13">
            <a:extLst>
              <a:ext uri="{FF2B5EF4-FFF2-40B4-BE49-F238E27FC236}">
                <a16:creationId xmlns:a16="http://schemas.microsoft.com/office/drawing/2014/main" id="{00000000-0008-0000-0500-00000D04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546" y="8594"/>
            <a:ext cx="2" cy="483"/>
          </a:xfrm>
          <a:prstGeom prst="line">
            <a:avLst/>
          </a:prstGeom>
          <a:noFill/>
          <a:ln w="1587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6" name="Text Box 12">
            <a:extLst>
              <a:ext uri="{FF2B5EF4-FFF2-40B4-BE49-F238E27FC236}">
                <a16:creationId xmlns:a16="http://schemas.microsoft.com/office/drawing/2014/main" id="{00000000-0008-0000-0500-00000C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346" y="8651"/>
            <a:ext cx="390" cy="27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de-CH" sz="1000" b="1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-</a:t>
            </a:r>
          </a:p>
        </xdr:txBody>
      </xdr:sp>
    </xdr:grpSp>
    <xdr:clientData/>
  </xdr:twoCellAnchor>
  <xdr:twoCellAnchor>
    <xdr:from>
      <xdr:col>24</xdr:col>
      <xdr:colOff>228600</xdr:colOff>
      <xdr:row>27</xdr:row>
      <xdr:rowOff>9526</xdr:rowOff>
    </xdr:from>
    <xdr:to>
      <xdr:col>26</xdr:col>
      <xdr:colOff>31750</xdr:colOff>
      <xdr:row>28</xdr:row>
      <xdr:rowOff>169335</xdr:rowOff>
    </xdr:to>
    <xdr:grpSp>
      <xdr:nvGrpSpPr>
        <xdr:cNvPr id="1047" name="Group 23">
          <a:extLst>
            <a:ext uri="{FF2B5EF4-FFF2-40B4-BE49-F238E27FC236}">
              <a16:creationId xmlns:a16="http://schemas.microsoft.com/office/drawing/2014/main" id="{00000000-0008-0000-0500-000017040000}"/>
            </a:ext>
          </a:extLst>
        </xdr:cNvPr>
        <xdr:cNvGrpSpPr>
          <a:grpSpLocks/>
        </xdr:cNvGrpSpPr>
      </xdr:nvGrpSpPr>
      <xdr:grpSpPr bwMode="auto">
        <a:xfrm>
          <a:off x="5876365" y="5421967"/>
          <a:ext cx="273797" cy="361515"/>
          <a:chOff x="6346" y="8594"/>
          <a:chExt cx="390" cy="483"/>
        </a:xfrm>
      </xdr:grpSpPr>
      <xdr:sp macro="" textlink="">
        <xdr:nvSpPr>
          <xdr:cNvPr id="1049" name="Line 25">
            <a:extLst>
              <a:ext uri="{FF2B5EF4-FFF2-40B4-BE49-F238E27FC236}">
                <a16:creationId xmlns:a16="http://schemas.microsoft.com/office/drawing/2014/main" id="{00000000-0008-0000-0500-00001904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546" y="8594"/>
            <a:ext cx="2" cy="483"/>
          </a:xfrm>
          <a:prstGeom prst="line">
            <a:avLst/>
          </a:prstGeom>
          <a:noFill/>
          <a:ln w="1587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48" name="Text Box 24">
            <a:extLst>
              <a:ext uri="{FF2B5EF4-FFF2-40B4-BE49-F238E27FC236}">
                <a16:creationId xmlns:a16="http://schemas.microsoft.com/office/drawing/2014/main" id="{00000000-0008-0000-0500-000018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346" y="8651"/>
            <a:ext cx="390" cy="27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r>
              <a:rPr lang="de-CH" sz="1000" b="1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=</a:t>
            </a:r>
          </a:p>
        </xdr:txBody>
      </xdr:sp>
    </xdr:grpSp>
    <xdr:clientData/>
  </xdr:twoCellAnchor>
  <xdr:twoCellAnchor>
    <xdr:from>
      <xdr:col>10</xdr:col>
      <xdr:colOff>200025</xdr:colOff>
      <xdr:row>41</xdr:row>
      <xdr:rowOff>123825</xdr:rowOff>
    </xdr:from>
    <xdr:to>
      <xdr:col>13</xdr:col>
      <xdr:colOff>152400</xdr:colOff>
      <xdr:row>41</xdr:row>
      <xdr:rowOff>133350</xdr:rowOff>
    </xdr:to>
    <xdr:sp macro="" textlink="">
      <xdr:nvSpPr>
        <xdr:cNvPr id="1034" name="Line 10">
          <a:extLst>
            <a:ext uri="{FF2B5EF4-FFF2-40B4-BE49-F238E27FC236}">
              <a16:creationId xmlns:a16="http://schemas.microsoft.com/office/drawing/2014/main" id="{00000000-0008-0000-0500-00000A040000}"/>
            </a:ext>
          </a:extLst>
        </xdr:cNvPr>
        <xdr:cNvSpPr>
          <a:spLocks noChangeShapeType="1"/>
        </xdr:cNvSpPr>
      </xdr:nvSpPr>
      <xdr:spPr bwMode="auto">
        <a:xfrm flipV="1">
          <a:off x="2581275" y="7086600"/>
          <a:ext cx="666750" cy="9525"/>
        </a:xfrm>
        <a:prstGeom prst="line">
          <a:avLst/>
        </a:prstGeom>
        <a:noFill/>
        <a:ln w="15875">
          <a:solidFill>
            <a:srgbClr val="000000"/>
          </a:solidFill>
          <a:prstDash val="lg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209550</xdr:colOff>
      <xdr:row>42</xdr:row>
      <xdr:rowOff>9525</xdr:rowOff>
    </xdr:from>
    <xdr:to>
      <xdr:col>0</xdr:col>
      <xdr:colOff>457200</xdr:colOff>
      <xdr:row>43</xdr:row>
      <xdr:rowOff>114300</xdr:rowOff>
    </xdr:to>
    <xdr:grpSp>
      <xdr:nvGrpSpPr>
        <xdr:cNvPr id="1031" name="Group 7">
          <a:extLst>
            <a:ext uri="{FF2B5EF4-FFF2-40B4-BE49-F238E27FC236}">
              <a16:creationId xmlns:a16="http://schemas.microsoft.com/office/drawing/2014/main" id="{00000000-0008-0000-0500-000007040000}"/>
            </a:ext>
          </a:extLst>
        </xdr:cNvPr>
        <xdr:cNvGrpSpPr>
          <a:grpSpLocks/>
        </xdr:cNvGrpSpPr>
      </xdr:nvGrpSpPr>
      <xdr:grpSpPr bwMode="auto">
        <a:xfrm>
          <a:off x="209550" y="8436349"/>
          <a:ext cx="28575" cy="306480"/>
          <a:chOff x="6346" y="8594"/>
          <a:chExt cx="390" cy="483"/>
        </a:xfrm>
      </xdr:grpSpPr>
      <xdr:sp macro="" textlink="">
        <xdr:nvSpPr>
          <xdr:cNvPr id="1033" name="Line 9">
            <a:extLst>
              <a:ext uri="{FF2B5EF4-FFF2-40B4-BE49-F238E27FC236}">
                <a16:creationId xmlns:a16="http://schemas.microsoft.com/office/drawing/2014/main" id="{00000000-0008-0000-0500-00000904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6546" y="8594"/>
            <a:ext cx="2" cy="483"/>
          </a:xfrm>
          <a:prstGeom prst="line">
            <a:avLst/>
          </a:prstGeom>
          <a:noFill/>
          <a:ln w="1587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32" name="Text Box 8">
            <a:extLst>
              <a:ext uri="{FF2B5EF4-FFF2-40B4-BE49-F238E27FC236}">
                <a16:creationId xmlns:a16="http://schemas.microsoft.com/office/drawing/2014/main" id="{00000000-0008-0000-0500-000008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346" y="8651"/>
            <a:ext cx="390" cy="270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0" tIns="0" rIns="0" bIns="0" anchor="t" upright="1"/>
          <a:lstStyle/>
          <a:p>
            <a:pPr algn="l" rtl="0">
              <a:defRPr sz="1000"/>
            </a:pPr>
            <a:r>
              <a:rPr lang="de-CH" sz="1000" b="1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=</a:t>
            </a:r>
          </a:p>
        </xdr:txBody>
      </xdr:sp>
    </xdr:grpSp>
    <xdr:clientData/>
  </xdr:twoCellAnchor>
  <xdr:twoCellAnchor>
    <xdr:from>
      <xdr:col>1</xdr:col>
      <xdr:colOff>0</xdr:colOff>
      <xdr:row>57</xdr:row>
      <xdr:rowOff>85725</xdr:rowOff>
    </xdr:from>
    <xdr:to>
      <xdr:col>2</xdr:col>
      <xdr:colOff>609600</xdr:colOff>
      <xdr:row>57</xdr:row>
      <xdr:rowOff>85725</xdr:rowOff>
    </xdr:to>
    <xdr:sp macro="" textlink="">
      <xdr:nvSpPr>
        <xdr:cNvPr id="1026" name="Line 2">
          <a:extLst>
            <a:ext uri="{FF2B5EF4-FFF2-40B4-BE49-F238E27FC236}">
              <a16:creationId xmlns:a16="http://schemas.microsoft.com/office/drawing/2014/main" id="{00000000-0008-0000-0500-000002040000}"/>
            </a:ext>
          </a:extLst>
        </xdr:cNvPr>
        <xdr:cNvSpPr>
          <a:spLocks noChangeShapeType="1"/>
        </xdr:cNvSpPr>
      </xdr:nvSpPr>
      <xdr:spPr bwMode="auto">
        <a:xfrm flipV="1">
          <a:off x="762000" y="10220325"/>
          <a:ext cx="1371600" cy="0"/>
        </a:xfrm>
        <a:prstGeom prst="line">
          <a:avLst/>
        </a:prstGeom>
        <a:noFill/>
        <a:ln w="1587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152400</xdr:colOff>
      <xdr:row>57</xdr:row>
      <xdr:rowOff>9525</xdr:rowOff>
    </xdr:from>
    <xdr:to>
      <xdr:col>0</xdr:col>
      <xdr:colOff>371475</xdr:colOff>
      <xdr:row>57</xdr:row>
      <xdr:rowOff>152400</xdr:rowOff>
    </xdr:to>
    <xdr:sp macro="" textlink="">
      <xdr:nvSpPr>
        <xdr:cNvPr id="1025" name="Text Box 1">
          <a:extLst>
            <a:ext uri="{FF2B5EF4-FFF2-40B4-BE49-F238E27FC236}">
              <a16:creationId xmlns:a16="http://schemas.microsoft.com/office/drawing/2014/main" id="{00000000-0008-0000-0500-000001040000}"/>
            </a:ext>
          </a:extLst>
        </xdr:cNvPr>
        <xdr:cNvSpPr txBox="1">
          <a:spLocks noChangeArrowheads="1"/>
        </xdr:cNvSpPr>
      </xdr:nvSpPr>
      <xdr:spPr bwMode="auto">
        <a:xfrm>
          <a:off x="152400" y="10144125"/>
          <a:ext cx="219075" cy="1428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de-CH" sz="10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</a:t>
          </a:r>
          <a:r>
            <a:rPr lang="de-CH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</a:t>
          </a:r>
        </a:p>
      </xdr:txBody>
    </xdr:sp>
    <xdr:clientData/>
  </xdr:twoCellAnchor>
  <xdr:twoCellAnchor>
    <xdr:from>
      <xdr:col>42</xdr:col>
      <xdr:colOff>9525</xdr:colOff>
      <xdr:row>52</xdr:row>
      <xdr:rowOff>19050</xdr:rowOff>
    </xdr:from>
    <xdr:to>
      <xdr:col>42</xdr:col>
      <xdr:colOff>323850</xdr:colOff>
      <xdr:row>56</xdr:row>
      <xdr:rowOff>152400</xdr:rowOff>
    </xdr:to>
    <xdr:grpSp>
      <xdr:nvGrpSpPr>
        <xdr:cNvPr id="1028" name="Group 4">
          <a:extLst>
            <a:ext uri="{FF2B5EF4-FFF2-40B4-BE49-F238E27FC236}">
              <a16:creationId xmlns:a16="http://schemas.microsoft.com/office/drawing/2014/main" id="{00000000-0008-0000-0500-000004040000}"/>
            </a:ext>
          </a:extLst>
        </xdr:cNvPr>
        <xdr:cNvGrpSpPr>
          <a:grpSpLocks/>
        </xdr:cNvGrpSpPr>
      </xdr:nvGrpSpPr>
      <xdr:grpSpPr bwMode="auto">
        <a:xfrm>
          <a:off x="9993966" y="10440521"/>
          <a:ext cx="228600" cy="928967"/>
          <a:chOff x="10058" y="12095"/>
          <a:chExt cx="495" cy="1459"/>
        </a:xfrm>
      </xdr:grpSpPr>
      <xdr:sp macro="" textlink="">
        <xdr:nvSpPr>
          <xdr:cNvPr id="1030" name="Line 6">
            <a:extLst>
              <a:ext uri="{FF2B5EF4-FFF2-40B4-BE49-F238E27FC236}">
                <a16:creationId xmlns:a16="http://schemas.microsoft.com/office/drawing/2014/main" id="{00000000-0008-0000-0500-00000604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058" y="13541"/>
            <a:ext cx="494" cy="1"/>
          </a:xfrm>
          <a:prstGeom prst="line">
            <a:avLst/>
          </a:prstGeom>
          <a:noFill/>
          <a:ln w="1587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29" name="Line 5">
            <a:extLst>
              <a:ext uri="{FF2B5EF4-FFF2-40B4-BE49-F238E27FC236}">
                <a16:creationId xmlns:a16="http://schemas.microsoft.com/office/drawing/2014/main" id="{00000000-0008-0000-0500-00000504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10549" y="12095"/>
            <a:ext cx="4" cy="1459"/>
          </a:xfrm>
          <a:prstGeom prst="line">
            <a:avLst/>
          </a:prstGeom>
          <a:noFill/>
          <a:ln w="1587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44</xdr:col>
      <xdr:colOff>742950</xdr:colOff>
      <xdr:row>54</xdr:row>
      <xdr:rowOff>66675</xdr:rowOff>
    </xdr:from>
    <xdr:to>
      <xdr:col>45</xdr:col>
      <xdr:colOff>228600</xdr:colOff>
      <xdr:row>55</xdr:row>
      <xdr:rowOff>38100</xdr:rowOff>
    </xdr:to>
    <xdr:sp macro="" textlink="">
      <xdr:nvSpPr>
        <xdr:cNvPr id="1027" name="Text Box 3">
          <a:extLst>
            <a:ext uri="{FF2B5EF4-FFF2-40B4-BE49-F238E27FC236}">
              <a16:creationId xmlns:a16="http://schemas.microsoft.com/office/drawing/2014/main" id="{00000000-0008-0000-0500-000003040000}"/>
            </a:ext>
          </a:extLst>
        </xdr:cNvPr>
        <xdr:cNvSpPr txBox="1">
          <a:spLocks noChangeArrowheads="1"/>
        </xdr:cNvSpPr>
      </xdr:nvSpPr>
      <xdr:spPr bwMode="auto">
        <a:xfrm>
          <a:off x="34270950" y="9601200"/>
          <a:ext cx="2476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l" rtl="0">
            <a:defRPr sz="1000"/>
          </a:pPr>
          <a:r>
            <a:rPr lang="de-CH" sz="10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</a:t>
          </a:r>
        </a:p>
      </xdr:txBody>
    </xdr:sp>
    <xdr:clientData/>
  </xdr:twoCellAnchor>
  <xdr:twoCellAnchor>
    <xdr:from>
      <xdr:col>24</xdr:col>
      <xdr:colOff>228599</xdr:colOff>
      <xdr:row>7</xdr:row>
      <xdr:rowOff>57150</xdr:rowOff>
    </xdr:from>
    <xdr:to>
      <xdr:col>26</xdr:col>
      <xdr:colOff>31749</xdr:colOff>
      <xdr:row>17</xdr:row>
      <xdr:rowOff>180975</xdr:rowOff>
    </xdr:to>
    <xdr:grpSp>
      <xdr:nvGrpSpPr>
        <xdr:cNvPr id="1057" name="Group 33">
          <a:extLst>
            <a:ext uri="{FF2B5EF4-FFF2-40B4-BE49-F238E27FC236}">
              <a16:creationId xmlns:a16="http://schemas.microsoft.com/office/drawing/2014/main" id="{00000000-0008-0000-0500-000021040000}"/>
            </a:ext>
          </a:extLst>
        </xdr:cNvPr>
        <xdr:cNvGrpSpPr>
          <a:grpSpLocks/>
        </xdr:cNvGrpSpPr>
      </xdr:nvGrpSpPr>
      <xdr:grpSpPr bwMode="auto">
        <a:xfrm>
          <a:off x="5876364" y="1469091"/>
          <a:ext cx="273797" cy="2118472"/>
          <a:chOff x="6304" y="2507"/>
          <a:chExt cx="390" cy="1430"/>
        </a:xfrm>
      </xdr:grpSpPr>
      <xdr:sp macro="" textlink="">
        <xdr:nvSpPr>
          <xdr:cNvPr id="1059" name="Line 35">
            <a:extLst>
              <a:ext uri="{FF2B5EF4-FFF2-40B4-BE49-F238E27FC236}">
                <a16:creationId xmlns:a16="http://schemas.microsoft.com/office/drawing/2014/main" id="{00000000-0008-0000-0500-000023040000}"/>
              </a:ext>
            </a:extLst>
          </xdr:cNvPr>
          <xdr:cNvSpPr>
            <a:spLocks noChangeShapeType="1"/>
          </xdr:cNvSpPr>
        </xdr:nvSpPr>
        <xdr:spPr bwMode="auto">
          <a:xfrm>
            <a:off x="6505" y="2507"/>
            <a:ext cx="0" cy="1430"/>
          </a:xfrm>
          <a:prstGeom prst="line">
            <a:avLst/>
          </a:prstGeom>
          <a:noFill/>
          <a:ln w="1587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58" name="Text Box 34">
            <a:extLst>
              <a:ext uri="{FF2B5EF4-FFF2-40B4-BE49-F238E27FC236}">
                <a16:creationId xmlns:a16="http://schemas.microsoft.com/office/drawing/2014/main" id="{00000000-0008-0000-0500-00002204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304" y="2994"/>
            <a:ext cx="390" cy="405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  <xdr:txBody>
          <a:bodyPr vertOverflow="clip" wrap="square" lIns="27432" tIns="22860" rIns="0" bIns="0" anchor="t" upright="1"/>
          <a:lstStyle/>
          <a:p>
            <a:pPr algn="ctr" rtl="0">
              <a:defRPr sz="1000"/>
            </a:pPr>
            <a:r>
              <a:rPr lang="de-CH" sz="1000" b="1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+</a:t>
            </a:r>
          </a:p>
        </xdr:txBody>
      </xdr:sp>
    </xdr:grpSp>
    <xdr:clientData/>
  </xdr:twoCellAnchor>
  <xdr:twoCellAnchor>
    <xdr:from>
      <xdr:col>45</xdr:col>
      <xdr:colOff>123825</xdr:colOff>
      <xdr:row>7</xdr:row>
      <xdr:rowOff>57150</xdr:rowOff>
    </xdr:from>
    <xdr:to>
      <xdr:col>45</xdr:col>
      <xdr:colOff>371475</xdr:colOff>
      <xdr:row>8</xdr:row>
      <xdr:rowOff>123825</xdr:rowOff>
    </xdr:to>
    <xdr:sp macro="" textlink="">
      <xdr:nvSpPr>
        <xdr:cNvPr id="1056" name="Text Box 32">
          <a:extLst>
            <a:ext uri="{FF2B5EF4-FFF2-40B4-BE49-F238E27FC236}">
              <a16:creationId xmlns:a16="http://schemas.microsoft.com/office/drawing/2014/main" id="{00000000-0008-0000-0500-000020040000}"/>
            </a:ext>
          </a:extLst>
        </xdr:cNvPr>
        <xdr:cNvSpPr txBox="1">
          <a:spLocks noChangeArrowheads="1"/>
        </xdr:cNvSpPr>
      </xdr:nvSpPr>
      <xdr:spPr bwMode="auto">
        <a:xfrm>
          <a:off x="34413825" y="1457325"/>
          <a:ext cx="247650" cy="257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de-CH" sz="10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</a:t>
          </a:r>
          <a:r>
            <a:rPr lang="de-CH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8</xdr:row>
      <xdr:rowOff>95250</xdr:rowOff>
    </xdr:from>
    <xdr:to>
      <xdr:col>3</xdr:col>
      <xdr:colOff>1361611</xdr:colOff>
      <xdr:row>13</xdr:row>
      <xdr:rowOff>123702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500" y="1619250"/>
          <a:ext cx="3714286" cy="98095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666750</xdr:colOff>
      <xdr:row>2</xdr:row>
      <xdr:rowOff>109537</xdr:rowOff>
    </xdr:from>
    <xdr:to>
      <xdr:col>19</xdr:col>
      <xdr:colOff>628650</xdr:colOff>
      <xdr:row>23</xdr:row>
      <xdr:rowOff>57150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</xdr:colOff>
      <xdr:row>31</xdr:row>
      <xdr:rowOff>123825</xdr:rowOff>
    </xdr:from>
    <xdr:to>
      <xdr:col>30</xdr:col>
      <xdr:colOff>114300</xdr:colOff>
      <xdr:row>70</xdr:row>
      <xdr:rowOff>152400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39</xdr:col>
      <xdr:colOff>142875</xdr:colOff>
      <xdr:row>44</xdr:row>
      <xdr:rowOff>107156</xdr:rowOff>
    </xdr:from>
    <xdr:to>
      <xdr:col>52</xdr:col>
      <xdr:colOff>23813</xdr:colOff>
      <xdr:row>85</xdr:row>
      <xdr:rowOff>130970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0.05422</cdr:x>
      <cdr:y>0.23367</cdr:y>
    </cdr:from>
    <cdr:to>
      <cdr:x>0.11944</cdr:x>
      <cdr:y>0.27655</cdr:y>
    </cdr:to>
    <cdr:sp macro="" textlink="">
      <cdr:nvSpPr>
        <cdr:cNvPr id="2" name="Textfeld 1"/>
        <cdr:cNvSpPr txBox="1"/>
      </cdr:nvSpPr>
      <cdr:spPr>
        <a:xfrm xmlns:a="http://schemas.openxmlformats.org/drawingml/2006/main">
          <a:off x="452921" y="1742759"/>
          <a:ext cx="544788" cy="3197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e-CH" sz="1200" b="1"/>
            <a:t>7%</a:t>
          </a:r>
        </a:p>
      </cdr:txBody>
    </cdr:sp>
  </cdr:relSizeAnchor>
  <cdr:relSizeAnchor xmlns:cdr="http://schemas.openxmlformats.org/drawingml/2006/chartDrawing">
    <cdr:from>
      <cdr:x>0.06692</cdr:x>
      <cdr:y>0.04771</cdr:y>
    </cdr:from>
    <cdr:to>
      <cdr:x>0.13213</cdr:x>
      <cdr:y>0.09059</cdr:y>
    </cdr:to>
    <cdr:sp macro="" textlink="">
      <cdr:nvSpPr>
        <cdr:cNvPr id="3" name="Textfeld 1"/>
        <cdr:cNvSpPr txBox="1"/>
      </cdr:nvSpPr>
      <cdr:spPr>
        <a:xfrm xmlns:a="http://schemas.openxmlformats.org/drawingml/2006/main">
          <a:off x="558970" y="355824"/>
          <a:ext cx="544789" cy="3197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CH" sz="1200" b="1"/>
            <a:t>9%</a:t>
          </a:r>
        </a:p>
      </cdr:txBody>
    </cdr:sp>
  </cdr:relSizeAnchor>
  <cdr:relSizeAnchor xmlns:cdr="http://schemas.openxmlformats.org/drawingml/2006/chartDrawing">
    <cdr:from>
      <cdr:x>0.14508</cdr:x>
      <cdr:y>0.04633</cdr:y>
    </cdr:from>
    <cdr:to>
      <cdr:x>0.22286</cdr:x>
      <cdr:y>0.0892</cdr:y>
    </cdr:to>
    <cdr:sp macro="" textlink="">
      <cdr:nvSpPr>
        <cdr:cNvPr id="4" name="Textfeld 1"/>
        <cdr:cNvSpPr txBox="1"/>
      </cdr:nvSpPr>
      <cdr:spPr>
        <a:xfrm xmlns:a="http://schemas.openxmlformats.org/drawingml/2006/main">
          <a:off x="1211916" y="345509"/>
          <a:ext cx="649712" cy="3197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CH" sz="1200" b="1"/>
            <a:t>11%</a:t>
          </a:r>
        </a:p>
      </cdr:txBody>
    </cdr:sp>
  </cdr:relSizeAnchor>
  <cdr:relSizeAnchor xmlns:cdr="http://schemas.openxmlformats.org/drawingml/2006/chartDrawing">
    <cdr:from>
      <cdr:x>0.23528</cdr:x>
      <cdr:y>0.0476</cdr:y>
    </cdr:from>
    <cdr:to>
      <cdr:x>0.30533</cdr:x>
      <cdr:y>0.09048</cdr:y>
    </cdr:to>
    <cdr:sp macro="" textlink="">
      <cdr:nvSpPr>
        <cdr:cNvPr id="5" name="Textfeld 1"/>
        <cdr:cNvSpPr txBox="1"/>
      </cdr:nvSpPr>
      <cdr:spPr>
        <a:xfrm xmlns:a="http://schemas.openxmlformats.org/drawingml/2006/main">
          <a:off x="1965424" y="355034"/>
          <a:ext cx="585142" cy="3197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CH" sz="1200" b="1"/>
            <a:t>13%</a:t>
          </a:r>
        </a:p>
      </cdr:txBody>
    </cdr:sp>
  </cdr:relSizeAnchor>
  <cdr:relSizeAnchor xmlns:cdr="http://schemas.openxmlformats.org/drawingml/2006/chartDrawing">
    <cdr:from>
      <cdr:x>0.32723</cdr:x>
      <cdr:y>0.0476</cdr:y>
    </cdr:from>
    <cdr:to>
      <cdr:x>0.40887</cdr:x>
      <cdr:y>0.09048</cdr:y>
    </cdr:to>
    <cdr:sp macro="" textlink="">
      <cdr:nvSpPr>
        <cdr:cNvPr id="6" name="Textfeld 1"/>
        <cdr:cNvSpPr txBox="1"/>
      </cdr:nvSpPr>
      <cdr:spPr>
        <a:xfrm xmlns:a="http://schemas.openxmlformats.org/drawingml/2006/main">
          <a:off x="2733470" y="355034"/>
          <a:ext cx="681994" cy="3197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CH" sz="1200" b="1"/>
            <a:t>15%</a:t>
          </a:r>
        </a:p>
      </cdr:txBody>
    </cdr:sp>
  </cdr:relSizeAnchor>
  <cdr:relSizeAnchor xmlns:cdr="http://schemas.openxmlformats.org/drawingml/2006/chartDrawing">
    <cdr:from>
      <cdr:x>0.41884</cdr:x>
      <cdr:y>0.04132</cdr:y>
    </cdr:from>
    <cdr:to>
      <cdr:x>0.49469</cdr:x>
      <cdr:y>0.0842</cdr:y>
    </cdr:to>
    <cdr:sp macro="" textlink="">
      <cdr:nvSpPr>
        <cdr:cNvPr id="7" name="Textfeld 1"/>
        <cdr:cNvSpPr txBox="1"/>
      </cdr:nvSpPr>
      <cdr:spPr>
        <a:xfrm xmlns:a="http://schemas.openxmlformats.org/drawingml/2006/main">
          <a:off x="3498756" y="308199"/>
          <a:ext cx="633567" cy="3197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CH" sz="1200" b="1"/>
            <a:t>17%</a:t>
          </a:r>
        </a:p>
      </cdr:txBody>
    </cdr:sp>
  </cdr:relSizeAnchor>
  <cdr:relSizeAnchor xmlns:cdr="http://schemas.openxmlformats.org/drawingml/2006/chartDrawing">
    <cdr:from>
      <cdr:x>0.50539</cdr:x>
      <cdr:y>0.04771</cdr:y>
    </cdr:from>
    <cdr:to>
      <cdr:x>0.58703</cdr:x>
      <cdr:y>0.09059</cdr:y>
    </cdr:to>
    <cdr:sp macro="" textlink="">
      <cdr:nvSpPr>
        <cdr:cNvPr id="8" name="Textfeld 1"/>
        <cdr:cNvSpPr txBox="1"/>
      </cdr:nvSpPr>
      <cdr:spPr>
        <a:xfrm xmlns:a="http://schemas.openxmlformats.org/drawingml/2006/main">
          <a:off x="4221758" y="355824"/>
          <a:ext cx="681994" cy="3197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CH" sz="1200" b="1"/>
            <a:t>19%</a:t>
          </a:r>
        </a:p>
      </cdr:txBody>
    </cdr:sp>
  </cdr:relSizeAnchor>
  <cdr:relSizeAnchor xmlns:cdr="http://schemas.openxmlformats.org/drawingml/2006/chartDrawing">
    <cdr:from>
      <cdr:x>0.59297</cdr:x>
      <cdr:y>0.0425</cdr:y>
    </cdr:from>
    <cdr:to>
      <cdr:x>0.67171</cdr:x>
      <cdr:y>0.08537</cdr:y>
    </cdr:to>
    <cdr:sp macro="" textlink="">
      <cdr:nvSpPr>
        <cdr:cNvPr id="9" name="Textfeld 1"/>
        <cdr:cNvSpPr txBox="1"/>
      </cdr:nvSpPr>
      <cdr:spPr>
        <a:xfrm xmlns:a="http://schemas.openxmlformats.org/drawingml/2006/main">
          <a:off x="4953306" y="316934"/>
          <a:ext cx="657781" cy="3197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CH" sz="1200" b="1"/>
            <a:t>21%</a:t>
          </a:r>
        </a:p>
      </cdr:txBody>
    </cdr:sp>
  </cdr:relSizeAnchor>
  <cdr:relSizeAnchor xmlns:cdr="http://schemas.openxmlformats.org/drawingml/2006/chartDrawing">
    <cdr:from>
      <cdr:x>0.68562</cdr:x>
      <cdr:y>0.04239</cdr:y>
    </cdr:from>
    <cdr:to>
      <cdr:x>0.76292</cdr:x>
      <cdr:y>0.08527</cdr:y>
    </cdr:to>
    <cdr:sp macro="" textlink="">
      <cdr:nvSpPr>
        <cdr:cNvPr id="10" name="Textfeld 1"/>
        <cdr:cNvSpPr txBox="1"/>
      </cdr:nvSpPr>
      <cdr:spPr>
        <a:xfrm xmlns:a="http://schemas.openxmlformats.org/drawingml/2006/main">
          <a:off x="5727315" y="316143"/>
          <a:ext cx="645674" cy="3197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CH" sz="1200" b="1"/>
            <a:t>23%</a:t>
          </a:r>
        </a:p>
      </cdr:txBody>
    </cdr:sp>
  </cdr:relSizeAnchor>
  <cdr:relSizeAnchor xmlns:cdr="http://schemas.openxmlformats.org/drawingml/2006/chartDrawing">
    <cdr:from>
      <cdr:x>0.7756</cdr:x>
      <cdr:y>0.0425</cdr:y>
    </cdr:from>
    <cdr:to>
      <cdr:x>0.85434</cdr:x>
      <cdr:y>0.08537</cdr:y>
    </cdr:to>
    <cdr:sp macro="" textlink="">
      <cdr:nvSpPr>
        <cdr:cNvPr id="11" name="Textfeld 1"/>
        <cdr:cNvSpPr txBox="1"/>
      </cdr:nvSpPr>
      <cdr:spPr>
        <a:xfrm xmlns:a="http://schemas.openxmlformats.org/drawingml/2006/main">
          <a:off x="6478894" y="316934"/>
          <a:ext cx="657780" cy="3197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CH" sz="1200" b="1"/>
            <a:t>25%</a:t>
          </a:r>
        </a:p>
      </cdr:txBody>
    </cdr:sp>
  </cdr:relSizeAnchor>
  <cdr:relSizeAnchor xmlns:cdr="http://schemas.openxmlformats.org/drawingml/2006/chartDrawing">
    <cdr:from>
      <cdr:x>0.8665</cdr:x>
      <cdr:y>0.04367</cdr:y>
    </cdr:from>
    <cdr:to>
      <cdr:x>0.94959</cdr:x>
      <cdr:y>0.08654</cdr:y>
    </cdr:to>
    <cdr:sp macro="" textlink="">
      <cdr:nvSpPr>
        <cdr:cNvPr id="12" name="Textfeld 1"/>
        <cdr:cNvSpPr txBox="1"/>
      </cdr:nvSpPr>
      <cdr:spPr>
        <a:xfrm xmlns:a="http://schemas.openxmlformats.org/drawingml/2006/main">
          <a:off x="7238214" y="325668"/>
          <a:ext cx="694100" cy="3197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CH" sz="1200" b="1"/>
            <a:t>27%</a:t>
          </a:r>
        </a:p>
      </cdr:txBody>
    </cdr:sp>
  </cdr:relSizeAnchor>
  <cdr:relSizeAnchor xmlns:cdr="http://schemas.openxmlformats.org/drawingml/2006/chartDrawing">
    <cdr:from>
      <cdr:x>0.91936</cdr:x>
      <cdr:y>0.26391</cdr:y>
    </cdr:from>
    <cdr:to>
      <cdr:x>0.99086</cdr:x>
      <cdr:y>0.30679</cdr:y>
    </cdr:to>
    <cdr:sp macro="" textlink="">
      <cdr:nvSpPr>
        <cdr:cNvPr id="13" name="Textfeld 1"/>
        <cdr:cNvSpPr txBox="1"/>
      </cdr:nvSpPr>
      <cdr:spPr>
        <a:xfrm xmlns:a="http://schemas.openxmlformats.org/drawingml/2006/main">
          <a:off x="7679829" y="1968276"/>
          <a:ext cx="597248" cy="3197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de-CH" sz="1200" b="1"/>
            <a:t>29%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219074</xdr:colOff>
      <xdr:row>1</xdr:row>
      <xdr:rowOff>33337</xdr:rowOff>
    </xdr:from>
    <xdr:to>
      <xdr:col>17</xdr:col>
      <xdr:colOff>581025</xdr:colOff>
      <xdr:row>33</xdr:row>
      <xdr:rowOff>9525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14</xdr:row>
          <xdr:rowOff>0</xdr:rowOff>
        </xdr:from>
        <xdr:to>
          <xdr:col>4</xdr:col>
          <xdr:colOff>647700</xdr:colOff>
          <xdr:row>15</xdr:row>
          <xdr:rowOff>76200</xdr:rowOff>
        </xdr:to>
        <xdr:sp macro="" textlink="">
          <xdr:nvSpPr>
            <xdr:cNvPr id="25601" name="btTakeoffEnvelop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15</xdr:row>
          <xdr:rowOff>161925</xdr:rowOff>
        </xdr:from>
        <xdr:to>
          <xdr:col>4</xdr:col>
          <xdr:colOff>657225</xdr:colOff>
          <xdr:row>17</xdr:row>
          <xdr:rowOff>76200</xdr:rowOff>
        </xdr:to>
        <xdr:sp macro="" textlink="">
          <xdr:nvSpPr>
            <xdr:cNvPr id="25602" name="btInflightEnvelope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17</xdr:row>
          <xdr:rowOff>171450</xdr:rowOff>
        </xdr:from>
        <xdr:to>
          <xdr:col>4</xdr:col>
          <xdr:colOff>666750</xdr:colOff>
          <xdr:row>19</xdr:row>
          <xdr:rowOff>76200</xdr:rowOff>
        </xdr:to>
        <xdr:sp macro="" textlink="">
          <xdr:nvSpPr>
            <xdr:cNvPr id="25603" name="btLandingEnvelope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19</xdr:row>
          <xdr:rowOff>142875</xdr:rowOff>
        </xdr:from>
        <xdr:to>
          <xdr:col>4</xdr:col>
          <xdr:colOff>647700</xdr:colOff>
          <xdr:row>21</xdr:row>
          <xdr:rowOff>66675</xdr:rowOff>
        </xdr:to>
        <xdr:sp macro="" textlink="">
          <xdr:nvSpPr>
            <xdr:cNvPr id="25604" name="btZeroFuelEnvelop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22</xdr:row>
          <xdr:rowOff>19050</xdr:rowOff>
        </xdr:from>
        <xdr:to>
          <xdr:col>4</xdr:col>
          <xdr:colOff>666750</xdr:colOff>
          <xdr:row>23</xdr:row>
          <xdr:rowOff>114300</xdr:rowOff>
        </xdr:to>
        <xdr:sp macro="" textlink="">
          <xdr:nvSpPr>
            <xdr:cNvPr id="25605" name="btAltCG1Envelope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A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24</xdr:row>
          <xdr:rowOff>28575</xdr:rowOff>
        </xdr:from>
        <xdr:to>
          <xdr:col>4</xdr:col>
          <xdr:colOff>657225</xdr:colOff>
          <xdr:row>25</xdr:row>
          <xdr:rowOff>123825</xdr:rowOff>
        </xdr:to>
        <xdr:sp macro="" textlink="">
          <xdr:nvSpPr>
            <xdr:cNvPr id="25606" name="btAltCG2Envelope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A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28</xdr:row>
          <xdr:rowOff>171450</xdr:rowOff>
        </xdr:from>
        <xdr:to>
          <xdr:col>5</xdr:col>
          <xdr:colOff>371475</xdr:colOff>
          <xdr:row>30</xdr:row>
          <xdr:rowOff>95250</xdr:rowOff>
        </xdr:to>
        <xdr:sp macro="" textlink="">
          <xdr:nvSpPr>
            <xdr:cNvPr id="25607" name="btRecalculate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A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26</xdr:row>
          <xdr:rowOff>9525</xdr:rowOff>
        </xdr:from>
        <xdr:to>
          <xdr:col>4</xdr:col>
          <xdr:colOff>628650</xdr:colOff>
          <xdr:row>27</xdr:row>
          <xdr:rowOff>104775</xdr:rowOff>
        </xdr:to>
        <xdr:sp macro="" textlink="">
          <xdr:nvSpPr>
            <xdr:cNvPr id="25608" name="btFerryZFMEnvelope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A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7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3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control" Target="../activeX/activeX5.xml"/><Relationship Id="rId4" Type="http://schemas.openxmlformats.org/officeDocument/2006/relationships/control" Target="../activeX/activeX1.xml"/><Relationship Id="rId9" Type="http://schemas.openxmlformats.org/officeDocument/2006/relationships/image" Target="../media/image2.emf"/><Relationship Id="rId14" Type="http://schemas.openxmlformats.org/officeDocument/2006/relationships/control" Target="../activeX/activeX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image" Target="../media/image5.emf"/><Relationship Id="rId4" Type="http://schemas.openxmlformats.org/officeDocument/2006/relationships/control" Target="../activeX/activeX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5.xml"/><Relationship Id="rId18" Type="http://schemas.openxmlformats.org/officeDocument/2006/relationships/image" Target="../media/image14.emf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12" Type="http://schemas.openxmlformats.org/officeDocument/2006/relationships/image" Target="../media/image11.emf"/><Relationship Id="rId17" Type="http://schemas.openxmlformats.org/officeDocument/2006/relationships/control" Target="../activeX/activeX17.xml"/><Relationship Id="rId2" Type="http://schemas.openxmlformats.org/officeDocument/2006/relationships/vmlDrawing" Target="../drawings/vmlDrawing5.vml"/><Relationship Id="rId16" Type="http://schemas.openxmlformats.org/officeDocument/2006/relationships/image" Target="../media/image13.emf"/><Relationship Id="rId1" Type="http://schemas.openxmlformats.org/officeDocument/2006/relationships/drawing" Target="../drawings/drawing10.xml"/><Relationship Id="rId6" Type="http://schemas.openxmlformats.org/officeDocument/2006/relationships/image" Target="../media/image8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5" Type="http://schemas.openxmlformats.org/officeDocument/2006/relationships/control" Target="../activeX/activeX16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3.xml"/><Relationship Id="rId14" Type="http://schemas.openxmlformats.org/officeDocument/2006/relationships/image" Target="../media/image1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94DAC-EEF0-4165-BBA9-AAEA98AB0758}">
  <sheetPr codeName="customCrewTable"/>
  <dimension ref="A1"/>
  <sheetViews>
    <sheetView showGridLines="0" topLeftCell="A7" workbookViewId="0">
      <selection activeCell="I31" sqref="I31"/>
    </sheetView>
  </sheetViews>
  <sheetFormatPr baseColWidth="10" defaultColWidth="10.7109375" defaultRowHeight="15"/>
  <sheetData/>
  <sheetProtection algorithmName="SHA-512" hashValue="vQCCBSJxszUBaea3/KA526cQwuBP5ae3JOomC9NyixoDx3VL5a4h3RZ7FxAffvBFQEaky52tQvGSEJfL4Pp1Ow==" saltValue="0kbMEl3Vaf805rA9A9NcgQ==" spinCount="100000" sheet="1" objects="1" scenarios="1" selectLockedCells="1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4" r:id="rId4" name="csCabinPax">
          <controlPr defaultSize="0" autoLine="0" r:id="rId5">
            <anchor moveWithCells="1">
              <from>
                <xdr:col>9</xdr:col>
                <xdr:colOff>552450</xdr:colOff>
                <xdr:row>12</xdr:row>
                <xdr:rowOff>142875</xdr:rowOff>
              </from>
              <to>
                <xdr:col>9</xdr:col>
                <xdr:colOff>695325</xdr:colOff>
                <xdr:row>14</xdr:row>
                <xdr:rowOff>28575</xdr:rowOff>
              </to>
            </anchor>
          </controlPr>
        </control>
      </mc:Choice>
      <mc:Fallback>
        <control shapeId="11274" r:id="rId4" name="csCabinPax"/>
      </mc:Fallback>
    </mc:AlternateContent>
    <mc:AlternateContent xmlns:mc="http://schemas.openxmlformats.org/markup-compatibility/2006">
      <mc:Choice Requires="x14">
        <control shapeId="11273" r:id="rId6" name="csCabin2R">
          <controlPr defaultSize="0" autoLine="0" r:id="rId5">
            <anchor moveWithCells="1">
              <from>
                <xdr:col>10</xdr:col>
                <xdr:colOff>219075</xdr:colOff>
                <xdr:row>12</xdr:row>
                <xdr:rowOff>95250</xdr:rowOff>
              </from>
              <to>
                <xdr:col>10</xdr:col>
                <xdr:colOff>361950</xdr:colOff>
                <xdr:row>13</xdr:row>
                <xdr:rowOff>171450</xdr:rowOff>
              </to>
            </anchor>
          </controlPr>
        </control>
      </mc:Choice>
      <mc:Fallback>
        <control shapeId="11273" r:id="rId6" name="csCabin2R"/>
      </mc:Fallback>
    </mc:AlternateContent>
    <mc:AlternateContent xmlns:mc="http://schemas.openxmlformats.org/markup-compatibility/2006">
      <mc:Choice Requires="x14">
        <control shapeId="11272" r:id="rId7" name="csCabin2L">
          <controlPr defaultSize="0" autoLine="0" r:id="rId5">
            <anchor moveWithCells="1">
              <from>
                <xdr:col>10</xdr:col>
                <xdr:colOff>238125</xdr:colOff>
                <xdr:row>20</xdr:row>
                <xdr:rowOff>142875</xdr:rowOff>
              </from>
              <to>
                <xdr:col>10</xdr:col>
                <xdr:colOff>381000</xdr:colOff>
                <xdr:row>22</xdr:row>
                <xdr:rowOff>28575</xdr:rowOff>
              </to>
            </anchor>
          </controlPr>
        </control>
      </mc:Choice>
      <mc:Fallback>
        <control shapeId="11272" r:id="rId7" name="csCabin2L"/>
      </mc:Fallback>
    </mc:AlternateContent>
    <mc:AlternateContent xmlns:mc="http://schemas.openxmlformats.org/markup-compatibility/2006">
      <mc:Choice Requires="x14">
        <control shapeId="11271" r:id="rId8" name="csCabin1L">
          <controlPr defaultSize="0" autoLine="0" r:id="rId9">
            <anchor moveWithCells="1">
              <from>
                <xdr:col>6</xdr:col>
                <xdr:colOff>0</xdr:colOff>
                <xdr:row>20</xdr:row>
                <xdr:rowOff>142875</xdr:rowOff>
              </from>
              <to>
                <xdr:col>6</xdr:col>
                <xdr:colOff>142875</xdr:colOff>
                <xdr:row>22</xdr:row>
                <xdr:rowOff>28575</xdr:rowOff>
              </to>
            </anchor>
          </controlPr>
        </control>
      </mc:Choice>
      <mc:Fallback>
        <control shapeId="11271" r:id="rId8" name="csCabin1L"/>
      </mc:Fallback>
    </mc:AlternateContent>
    <mc:AlternateContent xmlns:mc="http://schemas.openxmlformats.org/markup-compatibility/2006">
      <mc:Choice Requires="x14">
        <control shapeId="11270" r:id="rId10" name="csCabin1R">
          <controlPr defaultSize="0" autoLine="0" r:id="rId11">
            <anchor moveWithCells="1">
              <from>
                <xdr:col>6</xdr:col>
                <xdr:colOff>0</xdr:colOff>
                <xdr:row>12</xdr:row>
                <xdr:rowOff>114300</xdr:rowOff>
              </from>
              <to>
                <xdr:col>6</xdr:col>
                <xdr:colOff>152400</xdr:colOff>
                <xdr:row>13</xdr:row>
                <xdr:rowOff>161925</xdr:rowOff>
              </to>
            </anchor>
          </controlPr>
        </control>
      </mc:Choice>
      <mc:Fallback>
        <control shapeId="11270" r:id="rId10" name="csCabin1R"/>
      </mc:Fallback>
    </mc:AlternateContent>
    <mc:AlternateContent xmlns:mc="http://schemas.openxmlformats.org/markup-compatibility/2006">
      <mc:Choice Requires="x14">
        <control shapeId="11269" r:id="rId12" name="csCockpitOBS">
          <controlPr defaultSize="0" autoLine="0" r:id="rId9">
            <anchor moveWithCells="1">
              <from>
                <xdr:col>4</xdr:col>
                <xdr:colOff>0</xdr:colOff>
                <xdr:row>17</xdr:row>
                <xdr:rowOff>9525</xdr:rowOff>
              </from>
              <to>
                <xdr:col>4</xdr:col>
                <xdr:colOff>142875</xdr:colOff>
                <xdr:row>18</xdr:row>
                <xdr:rowOff>85725</xdr:rowOff>
              </to>
            </anchor>
          </controlPr>
        </control>
      </mc:Choice>
      <mc:Fallback>
        <control shapeId="11269" r:id="rId12" name="csCockpitOBS"/>
      </mc:Fallback>
    </mc:AlternateContent>
    <mc:AlternateContent xmlns:mc="http://schemas.openxmlformats.org/markup-compatibility/2006">
      <mc:Choice Requires="x14">
        <control shapeId="11268" r:id="rId13" name="csCockpitLH">
          <controlPr defaultSize="0" autoLine="0" r:id="rId9">
            <anchor moveWithCells="1">
              <from>
                <xdr:col>2</xdr:col>
                <xdr:colOff>695325</xdr:colOff>
                <xdr:row>17</xdr:row>
                <xdr:rowOff>85725</xdr:rowOff>
              </from>
              <to>
                <xdr:col>3</xdr:col>
                <xdr:colOff>123825</xdr:colOff>
                <xdr:row>18</xdr:row>
                <xdr:rowOff>161925</xdr:rowOff>
              </to>
            </anchor>
          </controlPr>
        </control>
      </mc:Choice>
      <mc:Fallback>
        <control shapeId="11268" r:id="rId13" name="csCockpitLH"/>
      </mc:Fallback>
    </mc:AlternateContent>
    <mc:AlternateContent xmlns:mc="http://schemas.openxmlformats.org/markup-compatibility/2006">
      <mc:Choice Requires="x14">
        <control shapeId="11267" r:id="rId14" name="csCockpitRH">
          <controlPr defaultSize="0" autoLine="0" autoPict="0" r:id="rId9">
            <anchor moveWithCells="1">
              <from>
                <xdr:col>2</xdr:col>
                <xdr:colOff>676275</xdr:colOff>
                <xdr:row>13</xdr:row>
                <xdr:rowOff>66675</xdr:rowOff>
              </from>
              <to>
                <xdr:col>3</xdr:col>
                <xdr:colOff>57150</xdr:colOff>
                <xdr:row>14</xdr:row>
                <xdr:rowOff>142875</xdr:rowOff>
              </to>
            </anchor>
          </controlPr>
        </control>
      </mc:Choice>
      <mc:Fallback>
        <control shapeId="11267" r:id="rId14" name="csCockpitRH"/>
      </mc:Fallback>
    </mc:AlternateContent>
    <mc:AlternateContent xmlns:mc="http://schemas.openxmlformats.org/markup-compatibility/2006">
      <mc:Choice Requires="x14">
        <control shapeId="11277" r:id="rId15" name="Button 13">
          <controlPr defaultSize="0" print="0" autoFill="0" autoPict="0" macro="[0]!customCrewCalculate">
            <anchor moveWithCells="1">
              <from>
                <xdr:col>5</xdr:col>
                <xdr:colOff>704850</xdr:colOff>
                <xdr:row>30</xdr:row>
                <xdr:rowOff>133350</xdr:rowOff>
              </from>
              <to>
                <xdr:col>7</xdr:col>
                <xdr:colOff>457200</xdr:colOff>
                <xdr:row>31</xdr:row>
                <xdr:rowOff>180975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83144-217B-4556-BC5C-1DC983FAC49B}">
  <sheetPr codeName="tblSectionTrim"/>
  <dimension ref="B3:E21"/>
  <sheetViews>
    <sheetView showGridLines="0" workbookViewId="0">
      <selection activeCell="C3" sqref="C3"/>
    </sheetView>
  </sheetViews>
  <sheetFormatPr baseColWidth="10" defaultColWidth="10.7109375" defaultRowHeight="15"/>
  <cols>
    <col min="2" max="2" width="15.5703125" customWidth="1"/>
    <col min="3" max="3" width="17.5703125" customWidth="1"/>
  </cols>
  <sheetData>
    <row r="3" spans="2:5">
      <c r="B3" t="s">
        <v>109</v>
      </c>
      <c r="C3" s="76" t="s">
        <v>108</v>
      </c>
    </row>
    <row r="5" spans="2:5">
      <c r="C5" t="s">
        <v>117</v>
      </c>
      <c r="D5" t="s">
        <v>137</v>
      </c>
    </row>
    <row r="6" spans="2:5">
      <c r="B6" t="s">
        <v>110</v>
      </c>
      <c r="C6" s="75">
        <v>0</v>
      </c>
      <c r="D6" s="47">
        <v>0</v>
      </c>
    </row>
    <row r="7" spans="2:5" hidden="1">
      <c r="B7" t="s">
        <v>111</v>
      </c>
      <c r="C7" s="111">
        <v>0</v>
      </c>
      <c r="D7" s="47">
        <v>0</v>
      </c>
    </row>
    <row r="8" spans="2:5" hidden="1">
      <c r="B8" t="s">
        <v>112</v>
      </c>
      <c r="C8" s="111">
        <v>0</v>
      </c>
      <c r="D8" s="47">
        <v>0</v>
      </c>
    </row>
    <row r="9" spans="2:5">
      <c r="B9" t="s">
        <v>19</v>
      </c>
      <c r="C9" s="111">
        <v>0</v>
      </c>
      <c r="D9" s="47">
        <v>0</v>
      </c>
    </row>
    <row r="10" spans="2:5">
      <c r="B10" t="s">
        <v>113</v>
      </c>
      <c r="C10" s="111">
        <v>0</v>
      </c>
      <c r="D10" s="47">
        <v>0</v>
      </c>
    </row>
    <row r="11" spans="2:5">
      <c r="B11" s="47" t="s">
        <v>24</v>
      </c>
      <c r="C11" s="67">
        <f>SUM(C6:C9)</f>
        <v>0</v>
      </c>
      <c r="D11" s="68">
        <f>SUM(D6:D9)</f>
        <v>0</v>
      </c>
    </row>
    <row r="12" spans="2:5">
      <c r="B12" s="72" t="s">
        <v>140</v>
      </c>
      <c r="C12" s="72"/>
      <c r="D12" s="73">
        <f>IF(C11&gt;0,ROUND(SUM(D6:D9)/C11,3),0)</f>
        <v>0</v>
      </c>
    </row>
    <row r="14" spans="2:5">
      <c r="B14" s="74"/>
    </row>
    <row r="15" spans="2:5">
      <c r="B15" s="70"/>
      <c r="C15" s="70"/>
      <c r="D15" s="28"/>
    </row>
    <row r="16" spans="2:5">
      <c r="C16" t="s">
        <v>117</v>
      </c>
      <c r="D16" t="s">
        <v>138</v>
      </c>
      <c r="E16" t="s">
        <v>16</v>
      </c>
    </row>
    <row r="17" spans="2:5">
      <c r="B17" t="s">
        <v>114</v>
      </c>
      <c r="C17" s="111">
        <v>0</v>
      </c>
      <c r="D17" s="47">
        <f>C17*$D$12</f>
        <v>0</v>
      </c>
      <c r="E17" s="71">
        <f>D17*Pax!J2</f>
        <v>0</v>
      </c>
    </row>
    <row r="18" spans="2:5">
      <c r="B18" t="s">
        <v>115</v>
      </c>
      <c r="C18" s="111">
        <v>0</v>
      </c>
      <c r="D18" s="47">
        <f t="shared" ref="D18:D19" si="0">C18*$D$12</f>
        <v>0</v>
      </c>
      <c r="E18" s="71">
        <f>D18*Pax!J12</f>
        <v>0</v>
      </c>
    </row>
    <row r="19" spans="2:5">
      <c r="B19" t="s">
        <v>116</v>
      </c>
      <c r="C19" s="111">
        <v>0</v>
      </c>
      <c r="D19" s="47">
        <f t="shared" si="0"/>
        <v>0</v>
      </c>
      <c r="E19" s="71">
        <f>D19*Pax!J21</f>
        <v>0</v>
      </c>
    </row>
    <row r="20" spans="2:5">
      <c r="C20" s="48"/>
    </row>
    <row r="21" spans="2:5">
      <c r="C21" s="48">
        <f>SUM(C11)-SUM(C17:C19)</f>
        <v>0</v>
      </c>
      <c r="D21" s="66">
        <f>SUM(D17:D19)</f>
        <v>0</v>
      </c>
      <c r="E21" s="69">
        <f>ROUND(SUM(E17:E19),3)</f>
        <v>0</v>
      </c>
    </row>
  </sheetData>
  <sheetProtection algorithmName="SHA-512" hashValue="8KjROQkyTTjGxHLEblTd0F81yK4A6r+fmk9CMQN/cGxYgMoRIBZHX0DaphFmdDiAPYM1vtWZIoQTgmIABtFDyw==" saltValue="UEh/byYqgFnHR6r7zQTy9A==" spinCount="100000" sheet="1" objects="1" scenarios="1" selectLockedCells="1"/>
  <conditionalFormatting sqref="C21">
    <cfRule type="cellIs" dxfId="12" priority="1" operator="equal">
      <formula>0</formula>
    </cfRule>
    <cfRule type="cellIs" dxfId="11" priority="2" operator="notEqual">
      <formula>0</formula>
    </cfRule>
  </conditionalFormatting>
  <dataValidations count="1">
    <dataValidation type="list" allowBlank="1" showInputMessage="1" showErrorMessage="1" sqref="C4" xr:uid="{92E43567-FAB4-4D68-AAD9-BBD06B947760}">
      <formula1>#REF!</formula1>
    </dataValidation>
  </dataValidations>
  <pageMargins left="0.7" right="0.7" top="0.78740157499999996" bottom="0.78740157499999996" header="0.3" footer="0.3"/>
  <pageSetup paperSize="9" orientation="portrait" r:id="rId1"/>
  <ignoredErrors>
    <ignoredError sqref="C11:D11 D12" formulaRange="1"/>
  </ignoredErrors>
  <drawing r:id="rId2"/>
  <legacyDrawing r:id="rId3"/>
  <controls>
    <mc:AlternateContent xmlns:mc="http://schemas.openxmlformats.org/markup-compatibility/2006">
      <mc:Choice Requires="x14">
        <control shapeId="7177" r:id="rId4" name="btMaleFemale">
          <controlPr defaultSize="0" autoLine="0" r:id="rId5">
            <anchor moveWithCells="1">
              <from>
                <xdr:col>1</xdr:col>
                <xdr:colOff>0</xdr:colOff>
                <xdr:row>0</xdr:row>
                <xdr:rowOff>66675</xdr:rowOff>
              </from>
              <to>
                <xdr:col>2</xdr:col>
                <xdr:colOff>904875</xdr:colOff>
                <xdr:row>1</xdr:row>
                <xdr:rowOff>180975</xdr:rowOff>
              </to>
            </anchor>
          </controlPr>
        </control>
      </mc:Choice>
      <mc:Fallback>
        <control shapeId="7177" r:id="rId4" name="btMaleFemale"/>
      </mc:Fallback>
    </mc:AlternateContent>
    <mc:AlternateContent xmlns:mc="http://schemas.openxmlformats.org/markup-compatibility/2006">
      <mc:Choice Requires="x14">
        <control shapeId="7171" r:id="rId6" name="Button 3">
          <controlPr defaultSize="0" print="0" autoFill="0" autoPict="0" macro="[0]!sectionTrimCalc">
            <anchor moveWithCells="1">
              <from>
                <xdr:col>1</xdr:col>
                <xdr:colOff>19050</xdr:colOff>
                <xdr:row>23</xdr:row>
                <xdr:rowOff>19050</xdr:rowOff>
              </from>
              <to>
                <xdr:col>2</xdr:col>
                <xdr:colOff>28575</xdr:colOff>
                <xdr:row>24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2" r:id="rId7" name="Button 4">
          <controlPr defaultSize="0" print="0" autoFill="0" autoPict="0" macro="[0]!sectionSave">
            <anchor moveWithCells="1">
              <from>
                <xdr:col>2</xdr:col>
                <xdr:colOff>638175</xdr:colOff>
                <xdr:row>22</xdr:row>
                <xdr:rowOff>142875</xdr:rowOff>
              </from>
              <to>
                <xdr:col>3</xdr:col>
                <xdr:colOff>561975</xdr:colOff>
                <xdr:row>24</xdr:row>
                <xdr:rowOff>171450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5185FD7-B448-4214-B240-046CEA8D204E}">
          <x14:formula1>
            <xm:f>'Aircraft Data'!$A$2:$A$3</xm:f>
          </x14:formula1>
          <xm:sqref>C3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96E9D-1BCB-45C8-A686-FB80BFBCDD83}">
  <sheetPr codeName="tblSeatrowTrim"/>
  <dimension ref="A1:S30"/>
  <sheetViews>
    <sheetView showGridLines="0" workbookViewId="0">
      <selection activeCell="S5" sqref="S5"/>
    </sheetView>
  </sheetViews>
  <sheetFormatPr baseColWidth="10" defaultColWidth="10.7109375" defaultRowHeight="15"/>
  <cols>
    <col min="1" max="5" width="5.7109375" customWidth="1"/>
    <col min="9" max="9" width="12.7109375" bestFit="1" customWidth="1"/>
    <col min="13" max="17" width="4.42578125" customWidth="1"/>
    <col min="19" max="19" width="11.42578125" customWidth="1"/>
  </cols>
  <sheetData>
    <row r="1" spans="1:19" ht="16.5" customHeight="1" thickTop="1" thickBot="1">
      <c r="A1" s="38"/>
      <c r="B1" s="38"/>
      <c r="C1" s="38"/>
      <c r="D1" s="38"/>
      <c r="E1" s="38"/>
      <c r="M1" s="41"/>
      <c r="N1" s="42" t="s">
        <v>18</v>
      </c>
      <c r="O1" s="42" t="s">
        <v>23</v>
      </c>
      <c r="P1" s="42" t="s">
        <v>105</v>
      </c>
      <c r="Q1" s="43" t="s">
        <v>106</v>
      </c>
      <c r="S1" s="85" t="s">
        <v>147</v>
      </c>
    </row>
    <row r="2" spans="1:19" ht="16.5" customHeight="1" thickBot="1">
      <c r="A2" s="38"/>
      <c r="B2" s="38"/>
      <c r="C2" s="38"/>
      <c r="D2" s="38"/>
      <c r="E2" s="38"/>
      <c r="I2" t="s">
        <v>109</v>
      </c>
      <c r="J2" s="86" t="s">
        <v>107</v>
      </c>
      <c r="M2" s="39">
        <v>1</v>
      </c>
      <c r="N2" s="77"/>
      <c r="O2" s="78"/>
      <c r="P2" s="44"/>
      <c r="Q2" s="45"/>
      <c r="S2">
        <f>Pax!G2</f>
        <v>-1.5338709677419354E-2</v>
      </c>
    </row>
    <row r="3" spans="1:19" ht="16.5" customHeight="1">
      <c r="A3" s="38"/>
      <c r="B3" s="38"/>
      <c r="C3" s="38"/>
      <c r="D3" s="38"/>
      <c r="E3" s="38"/>
      <c r="J3" t="s">
        <v>117</v>
      </c>
      <c r="K3" t="s">
        <v>137</v>
      </c>
      <c r="M3" s="39">
        <v>2</v>
      </c>
      <c r="N3" s="79"/>
      <c r="O3" s="80"/>
      <c r="P3" s="80"/>
      <c r="Q3" s="83"/>
      <c r="S3">
        <f>Pax!G3</f>
        <v>-1.4112903225806451E-2</v>
      </c>
    </row>
    <row r="4" spans="1:19" ht="16.5" customHeight="1">
      <c r="A4" s="38"/>
      <c r="B4" s="38"/>
      <c r="C4" s="38"/>
      <c r="D4" s="38"/>
      <c r="E4" s="38"/>
      <c r="I4" t="s">
        <v>111</v>
      </c>
      <c r="J4" s="66">
        <v>0</v>
      </c>
      <c r="K4" s="66">
        <v>0</v>
      </c>
      <c r="M4" s="39">
        <v>3</v>
      </c>
      <c r="N4" s="79"/>
      <c r="O4" s="80"/>
      <c r="P4" s="80"/>
      <c r="Q4" s="83"/>
      <c r="S4">
        <f>Pax!G4</f>
        <v>-1.2887096774193548E-2</v>
      </c>
    </row>
    <row r="5" spans="1:19" ht="16.5" customHeight="1">
      <c r="A5" s="38"/>
      <c r="B5" s="38"/>
      <c r="C5" s="38"/>
      <c r="D5" s="38"/>
      <c r="E5" s="38"/>
      <c r="I5" t="s">
        <v>112</v>
      </c>
      <c r="J5" s="66">
        <v>0</v>
      </c>
      <c r="K5" s="66">
        <v>0</v>
      </c>
      <c r="M5" s="39">
        <v>4</v>
      </c>
      <c r="N5" s="79"/>
      <c r="O5" s="80"/>
      <c r="P5" s="80"/>
      <c r="Q5" s="83"/>
      <c r="S5">
        <f>Pax!G5</f>
        <v>-1.1661290322580646E-2</v>
      </c>
    </row>
    <row r="6" spans="1:19" ht="16.5" customHeight="1" thickBot="1">
      <c r="A6" s="38"/>
      <c r="B6" s="38"/>
      <c r="C6" s="38"/>
      <c r="D6" s="38"/>
      <c r="E6" s="38"/>
      <c r="I6" t="s">
        <v>19</v>
      </c>
      <c r="J6" s="66">
        <v>0</v>
      </c>
      <c r="K6" s="66">
        <v>0</v>
      </c>
      <c r="M6" s="39">
        <v>5</v>
      </c>
      <c r="N6" s="79"/>
      <c r="O6" s="80"/>
      <c r="P6" s="80"/>
      <c r="Q6" s="83"/>
      <c r="S6">
        <f>Pax!G6</f>
        <v>-1.0435483870967741E-2</v>
      </c>
    </row>
    <row r="7" spans="1:19" ht="16.5" customHeight="1" thickBot="1">
      <c r="A7" s="38"/>
      <c r="B7" s="38"/>
      <c r="C7" s="38"/>
      <c r="D7" s="38"/>
      <c r="E7" s="38"/>
      <c r="I7" t="s">
        <v>21</v>
      </c>
      <c r="J7" s="110">
        <v>0</v>
      </c>
      <c r="K7" s="66">
        <v>0</v>
      </c>
      <c r="M7" s="39">
        <v>6</v>
      </c>
      <c r="N7" s="79"/>
      <c r="O7" s="80"/>
      <c r="P7" s="80"/>
      <c r="Q7" s="83"/>
      <c r="S7">
        <f>Pax!G7</f>
        <v>-9.1935483870967741E-3</v>
      </c>
    </row>
    <row r="8" spans="1:19" ht="16.5" customHeight="1" thickBot="1">
      <c r="A8" s="38"/>
      <c r="B8" s="38"/>
      <c r="C8" s="38"/>
      <c r="D8" s="38"/>
      <c r="E8" s="38"/>
      <c r="I8" s="87"/>
      <c r="J8" s="88"/>
      <c r="K8" s="88"/>
      <c r="M8" s="39">
        <v>7</v>
      </c>
      <c r="N8" s="79"/>
      <c r="O8" s="80"/>
      <c r="P8" s="80"/>
      <c r="Q8" s="83"/>
      <c r="S8">
        <f>Pax!G8</f>
        <v>-7.9677419354838713E-3</v>
      </c>
    </row>
    <row r="9" spans="1:19" ht="16.5" customHeight="1" thickTop="1">
      <c r="A9" s="38"/>
      <c r="B9" s="38"/>
      <c r="C9" s="38"/>
      <c r="D9" s="38"/>
      <c r="E9" s="38"/>
      <c r="I9" s="23" t="s">
        <v>151</v>
      </c>
      <c r="J9" s="48"/>
      <c r="K9" s="66">
        <f>SUM(K4:K7)</f>
        <v>0</v>
      </c>
      <c r="M9" s="39">
        <v>8</v>
      </c>
      <c r="N9" s="79"/>
      <c r="O9" s="80"/>
      <c r="P9" s="80"/>
      <c r="Q9" s="83"/>
      <c r="S9">
        <f>Pax!G9</f>
        <v>-6.7419354838709677E-3</v>
      </c>
    </row>
    <row r="10" spans="1:19" ht="16.5" customHeight="1">
      <c r="A10" s="38"/>
      <c r="B10" s="38"/>
      <c r="C10" s="38"/>
      <c r="D10" s="38"/>
      <c r="E10" s="38"/>
      <c r="I10" s="23" t="s">
        <v>16</v>
      </c>
      <c r="K10" s="66">
        <v>0</v>
      </c>
      <c r="M10" s="39">
        <v>9</v>
      </c>
      <c r="N10" s="79"/>
      <c r="O10" s="80"/>
      <c r="P10" s="80"/>
      <c r="Q10" s="83"/>
      <c r="S10">
        <f>Pax!G10</f>
        <v>-5.5161290322580641E-3</v>
      </c>
    </row>
    <row r="11" spans="1:19" ht="16.5" customHeight="1">
      <c r="A11" s="38"/>
      <c r="B11" s="38"/>
      <c r="C11" s="38"/>
      <c r="D11" s="38"/>
      <c r="E11" s="38"/>
      <c r="I11" s="74"/>
      <c r="M11" s="39">
        <v>10</v>
      </c>
      <c r="N11" s="79"/>
      <c r="O11" s="80"/>
      <c r="P11" s="80"/>
      <c r="Q11" s="83"/>
      <c r="S11">
        <f>Pax!G11</f>
        <v>-4.2903225806451614E-3</v>
      </c>
    </row>
    <row r="12" spans="1:19" ht="16.5" customHeight="1">
      <c r="A12" s="38"/>
      <c r="B12" s="38"/>
      <c r="C12" s="38"/>
      <c r="D12" s="38"/>
      <c r="E12" s="38"/>
      <c r="I12" s="74" t="s">
        <v>237</v>
      </c>
      <c r="M12" s="39">
        <v>11</v>
      </c>
      <c r="N12" s="79"/>
      <c r="O12" s="80"/>
      <c r="P12" s="80"/>
      <c r="Q12" s="83"/>
      <c r="S12">
        <f>Pax!G12</f>
        <v>-2.6774193548387095E-3</v>
      </c>
    </row>
    <row r="13" spans="1:19" ht="16.5" customHeight="1">
      <c r="A13" s="38"/>
      <c r="B13" s="38"/>
      <c r="C13" s="38"/>
      <c r="D13" s="38"/>
      <c r="E13" s="38"/>
      <c r="M13" s="39">
        <v>12</v>
      </c>
      <c r="N13" s="79"/>
      <c r="O13" s="80"/>
      <c r="P13" s="80"/>
      <c r="Q13" s="83"/>
      <c r="S13">
        <f>Pax!G13</f>
        <v>-1.4838709677419356E-3</v>
      </c>
    </row>
    <row r="14" spans="1:19" ht="16.5" customHeight="1">
      <c r="A14" s="38"/>
      <c r="B14" s="38"/>
      <c r="C14" s="38"/>
      <c r="D14" s="38"/>
      <c r="E14" s="38"/>
      <c r="M14" s="39">
        <v>14</v>
      </c>
      <c r="N14" s="79"/>
      <c r="O14" s="80"/>
      <c r="P14" s="80"/>
      <c r="Q14" s="83"/>
      <c r="S14">
        <f>Pax!G14</f>
        <v>-3.064516129032258E-4</v>
      </c>
    </row>
    <row r="15" spans="1:19" ht="16.5" customHeight="1">
      <c r="A15" s="38"/>
      <c r="B15" s="38"/>
      <c r="C15" s="38"/>
      <c r="D15" s="38"/>
      <c r="E15" s="38"/>
      <c r="M15" s="39">
        <v>15</v>
      </c>
      <c r="N15" s="79"/>
      <c r="O15" s="80"/>
      <c r="P15" s="80"/>
      <c r="Q15" s="83"/>
      <c r="S15">
        <f>Pax!G15</f>
        <v>8.8709677419354844E-4</v>
      </c>
    </row>
    <row r="16" spans="1:19" ht="16.5" customHeight="1">
      <c r="A16" s="38"/>
      <c r="B16" s="38"/>
      <c r="C16" s="38"/>
      <c r="D16" s="38"/>
      <c r="E16" s="38"/>
      <c r="M16" s="39">
        <v>16</v>
      </c>
      <c r="N16" s="79"/>
      <c r="O16" s="80"/>
      <c r="P16" s="80"/>
      <c r="Q16" s="83"/>
      <c r="S16">
        <f>Pax!G16</f>
        <v>2.0806451612903226E-3</v>
      </c>
    </row>
    <row r="17" spans="1:19" ht="16.5" customHeight="1">
      <c r="A17" s="38"/>
      <c r="B17" s="38"/>
      <c r="C17" s="38"/>
      <c r="D17" s="38"/>
      <c r="E17" s="38"/>
      <c r="M17" s="39">
        <v>17</v>
      </c>
      <c r="N17" s="79"/>
      <c r="O17" s="80"/>
      <c r="P17" s="80"/>
      <c r="Q17" s="83"/>
      <c r="S17">
        <f>Pax!G17</f>
        <v>3.2580645161290325E-3</v>
      </c>
    </row>
    <row r="18" spans="1:19" ht="16.5" customHeight="1">
      <c r="A18" s="38"/>
      <c r="B18" s="38"/>
      <c r="C18" s="38"/>
      <c r="D18" s="38"/>
      <c r="E18" s="38"/>
      <c r="M18" s="39">
        <v>18</v>
      </c>
      <c r="N18" s="79"/>
      <c r="O18" s="80"/>
      <c r="P18" s="80"/>
      <c r="Q18" s="83"/>
      <c r="S18">
        <f>Pax!G18</f>
        <v>4.4516129032258064E-3</v>
      </c>
    </row>
    <row r="19" spans="1:19" ht="16.5" customHeight="1">
      <c r="A19" s="38"/>
      <c r="B19" s="38"/>
      <c r="C19" s="38"/>
      <c r="D19" s="38"/>
      <c r="E19" s="38"/>
      <c r="M19" s="39">
        <v>19</v>
      </c>
      <c r="N19" s="79"/>
      <c r="O19" s="80"/>
      <c r="P19" s="80"/>
      <c r="Q19" s="83"/>
      <c r="S19">
        <f>Pax!G19</f>
        <v>5.6451612903225803E-3</v>
      </c>
    </row>
    <row r="20" spans="1:19" ht="16.5" customHeight="1">
      <c r="A20" s="38"/>
      <c r="B20" s="38"/>
      <c r="C20" s="38"/>
      <c r="D20" s="38"/>
      <c r="E20" s="38"/>
      <c r="M20" s="39">
        <v>20</v>
      </c>
      <c r="N20" s="79"/>
      <c r="O20" s="80"/>
      <c r="P20" s="80"/>
      <c r="Q20" s="83"/>
      <c r="S20">
        <f>Pax!G20</f>
        <v>6.8225806451612907E-3</v>
      </c>
    </row>
    <row r="21" spans="1:19" ht="16.5" customHeight="1">
      <c r="A21" s="38"/>
      <c r="B21" s="38"/>
      <c r="C21" s="38"/>
      <c r="D21" s="38"/>
      <c r="E21" s="38"/>
      <c r="M21" s="39">
        <v>21</v>
      </c>
      <c r="N21" s="79"/>
      <c r="O21" s="80"/>
      <c r="P21" s="80"/>
      <c r="Q21" s="83"/>
      <c r="S21">
        <f>Pax!G21</f>
        <v>8.0161290322580646E-3</v>
      </c>
    </row>
    <row r="22" spans="1:19" ht="16.5" customHeight="1">
      <c r="A22" s="38"/>
      <c r="B22" s="38"/>
      <c r="C22" s="38"/>
      <c r="D22" s="38"/>
      <c r="E22" s="38"/>
      <c r="M22" s="39">
        <v>22</v>
      </c>
      <c r="N22" s="79"/>
      <c r="O22" s="80"/>
      <c r="P22" s="80"/>
      <c r="Q22" s="83"/>
      <c r="S22">
        <f>Pax!G22</f>
        <v>9.2096774193548385E-3</v>
      </c>
    </row>
    <row r="23" spans="1:19" ht="16.5" customHeight="1">
      <c r="A23" s="38"/>
      <c r="B23" s="38"/>
      <c r="C23" s="38"/>
      <c r="D23" s="38"/>
      <c r="E23" s="38"/>
      <c r="M23" s="39">
        <v>23</v>
      </c>
      <c r="N23" s="79"/>
      <c r="O23" s="80"/>
      <c r="P23" s="80"/>
      <c r="Q23" s="83"/>
      <c r="S23">
        <f>Pax!G23</f>
        <v>1.038709677419355E-2</v>
      </c>
    </row>
    <row r="24" spans="1:19" ht="16.5" customHeight="1">
      <c r="A24" s="38"/>
      <c r="B24" s="38"/>
      <c r="C24" s="38"/>
      <c r="D24" s="38"/>
      <c r="E24" s="38"/>
      <c r="M24" s="39">
        <v>24</v>
      </c>
      <c r="N24" s="79"/>
      <c r="O24" s="80"/>
      <c r="P24" s="80"/>
      <c r="Q24" s="83"/>
      <c r="S24">
        <f>Pax!G24</f>
        <v>1.1580645161290322E-2</v>
      </c>
    </row>
    <row r="25" spans="1:19" ht="16.5" customHeight="1">
      <c r="A25" s="38"/>
      <c r="B25" s="38"/>
      <c r="C25" s="38"/>
      <c r="D25" s="38"/>
      <c r="E25" s="38"/>
      <c r="M25" s="39">
        <v>25</v>
      </c>
      <c r="N25" s="79"/>
      <c r="O25" s="80"/>
      <c r="P25" s="80"/>
      <c r="Q25" s="83"/>
      <c r="S25">
        <f>Pax!G25</f>
        <v>1.2774193548387096E-2</v>
      </c>
    </row>
    <row r="26" spans="1:19" ht="16.5" customHeight="1">
      <c r="A26" s="38"/>
      <c r="B26" s="38"/>
      <c r="C26" s="38"/>
      <c r="D26" s="38"/>
      <c r="E26" s="38"/>
      <c r="M26" s="39">
        <v>26</v>
      </c>
      <c r="N26" s="79"/>
      <c r="O26" s="80"/>
      <c r="P26" s="80"/>
      <c r="Q26" s="83"/>
      <c r="S26">
        <f>Pax!G26</f>
        <v>1.3951612903225807E-2</v>
      </c>
    </row>
    <row r="27" spans="1:19" ht="16.5" customHeight="1">
      <c r="A27" s="38"/>
      <c r="B27" s="38"/>
      <c r="C27" s="38"/>
      <c r="D27" s="38"/>
      <c r="E27" s="38"/>
      <c r="M27" s="39">
        <v>27</v>
      </c>
      <c r="N27" s="79"/>
      <c r="O27" s="80"/>
      <c r="P27" s="80"/>
      <c r="Q27" s="83"/>
      <c r="S27">
        <f>Pax!G27</f>
        <v>1.5145161290322581E-2</v>
      </c>
    </row>
    <row r="28" spans="1:19" ht="16.5" customHeight="1">
      <c r="A28" s="38"/>
      <c r="B28" s="38"/>
      <c r="C28" s="38"/>
      <c r="D28" s="38"/>
      <c r="E28" s="38"/>
      <c r="M28" s="39">
        <v>28</v>
      </c>
      <c r="N28" s="79"/>
      <c r="O28" s="80"/>
      <c r="P28" s="80"/>
      <c r="Q28" s="83"/>
      <c r="S28">
        <f>Pax!G28</f>
        <v>1.6338709677419357E-2</v>
      </c>
    </row>
    <row r="29" spans="1:19" ht="16.5" customHeight="1" thickBot="1">
      <c r="A29" s="38"/>
      <c r="B29" s="38"/>
      <c r="C29" s="38"/>
      <c r="D29" s="38"/>
      <c r="E29" s="38"/>
      <c r="M29" s="40">
        <v>29</v>
      </c>
      <c r="N29" s="81"/>
      <c r="O29" s="82"/>
      <c r="P29" s="82"/>
      <c r="Q29" s="84"/>
      <c r="S29">
        <f>Pax!G29</f>
        <v>1.7516129032258063E-2</v>
      </c>
    </row>
    <row r="30" spans="1:19" ht="15.75" thickTop="1"/>
  </sheetData>
  <sheetProtection selectLockedCells="1"/>
  <pageMargins left="0.7" right="0.7" top="0.78740157499999996" bottom="0.78740157499999996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eatRowTrimCalc">
                <anchor moveWithCells="1">
                  <from>
                    <xdr:col>8</xdr:col>
                    <xdr:colOff>9525</xdr:colOff>
                    <xdr:row>12</xdr:row>
                    <xdr:rowOff>123825</xdr:rowOff>
                  </from>
                  <to>
                    <xdr:col>9</xdr:col>
                    <xdr:colOff>19050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4" name="Button 7">
              <controlPr defaultSize="0" print="0" autoFill="0" autoPict="0" macro="[0]!seatRowSave">
                <anchor moveWithCells="1">
                  <from>
                    <xdr:col>9</xdr:col>
                    <xdr:colOff>333375</xdr:colOff>
                    <xdr:row>12</xdr:row>
                    <xdr:rowOff>114300</xdr:rowOff>
                  </from>
                  <to>
                    <xdr:col>11</xdr:col>
                    <xdr:colOff>104775</xdr:colOff>
                    <xdr:row>13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DropDown="1" showErrorMessage="1" errorTitle="invalid data" error="Please enter one of the following charachters._x000a_f - female_x000a_m - male_x000a_c - child_x000a_i - infant_x000a_o - seat not occupied_x000a_" xr:uid="{FBAB145D-5CCD-478C-9303-587A44916A8E}">
          <x14:formula1>
            <xm:f>'Aircraft Data'!$F$2:$F$7</xm:f>
          </x14:formula1>
          <xm:sqref>N2:O2</xm:sqref>
        </x14:dataValidation>
        <x14:dataValidation type="list" allowBlank="1" showInputMessage="1" showErrorMessage="1" xr:uid="{866A952D-86BA-4081-9959-4CACEC2EEB90}">
          <x14:formula1>
            <xm:f>'Aircraft Data'!$A$2:$A$3</xm:f>
          </x14:formula1>
          <xm:sqref>J2</xm:sqref>
        </x14:dataValidation>
        <x14:dataValidation type="list" allowBlank="1" showDropDown="1" showErrorMessage="1" errorTitle="invalid data" error="Please enter one of the following charachters._x000a_f - female_x000a_m - male_x000a_c - child_x000a_o - seat not occupied_x000a_" xr:uid="{4B227CFA-FD73-4B3D-9A35-DAF93752E019}">
          <x14:formula1>
            <xm:f>'Aircraft Data'!$F$2:$F$7</xm:f>
          </x14:formula1>
          <xm:sqref>N3:Q29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7B20F-00E5-4C67-915A-7074EF45C4C5}">
  <sheetPr codeName="occLS"/>
  <dimension ref="A1:AU68"/>
  <sheetViews>
    <sheetView showGridLines="0" showRowColHeaders="0" tabSelected="1" zoomScale="85" zoomScaleNormal="85" workbookViewId="0">
      <selection activeCell="H3" sqref="H3:Q3"/>
    </sheetView>
  </sheetViews>
  <sheetFormatPr baseColWidth="10" defaultColWidth="3.5703125" defaultRowHeight="15"/>
  <cols>
    <col min="31" max="31" width="5" customWidth="1"/>
    <col min="47" max="47" width="9.5703125" customWidth="1"/>
    <col min="54" max="54" width="3.5703125" customWidth="1"/>
  </cols>
  <sheetData>
    <row r="1" spans="1:47" ht="15.75" thickBot="1">
      <c r="A1" s="268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54"/>
      <c r="Z1" s="154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89"/>
    </row>
    <row r="2" spans="1:47" ht="15.75" thickBot="1">
      <c r="A2" s="143" t="s">
        <v>0</v>
      </c>
      <c r="B2" s="133"/>
      <c r="C2" s="133"/>
      <c r="D2" s="163" t="s">
        <v>1</v>
      </c>
      <c r="E2" s="163"/>
      <c r="F2" s="163"/>
      <c r="G2" s="190"/>
      <c r="H2" s="278">
        <f ca="1">TODAY()</f>
        <v>45198</v>
      </c>
      <c r="I2" s="279"/>
      <c r="J2" s="279"/>
      <c r="K2" s="279"/>
      <c r="L2" s="279"/>
      <c r="M2" s="279"/>
      <c r="N2" s="279"/>
      <c r="O2" s="279"/>
      <c r="P2" s="279"/>
      <c r="Q2" s="280"/>
      <c r="R2" s="281" t="s">
        <v>2</v>
      </c>
      <c r="S2" s="165"/>
      <c r="T2" s="165"/>
      <c r="U2" s="165"/>
      <c r="V2" s="165"/>
      <c r="W2" s="166"/>
      <c r="X2" s="272" t="s">
        <v>250</v>
      </c>
      <c r="Y2" s="273"/>
      <c r="Z2" s="273"/>
      <c r="AA2" s="274"/>
      <c r="AB2" s="162" t="s">
        <v>3</v>
      </c>
      <c r="AC2" s="163"/>
      <c r="AD2" s="163"/>
      <c r="AE2" s="190"/>
      <c r="AF2" s="269" t="s">
        <v>251</v>
      </c>
      <c r="AG2" s="270"/>
      <c r="AH2" s="270"/>
      <c r="AI2" s="270"/>
      <c r="AJ2" s="271"/>
      <c r="AK2" s="162" t="s">
        <v>4</v>
      </c>
      <c r="AL2" s="163"/>
      <c r="AM2" s="163"/>
      <c r="AN2" s="163"/>
      <c r="AO2" s="163"/>
      <c r="AP2" s="163"/>
      <c r="AQ2" s="163"/>
      <c r="AR2" s="190"/>
      <c r="AS2" s="263" t="s">
        <v>233</v>
      </c>
      <c r="AT2" s="264"/>
      <c r="AU2" s="265"/>
    </row>
    <row r="3" spans="1:47" ht="15.75" thickBot="1">
      <c r="A3" s="143"/>
      <c r="B3" s="133"/>
      <c r="C3" s="133"/>
      <c r="D3" s="163" t="s">
        <v>5</v>
      </c>
      <c r="E3" s="163"/>
      <c r="F3" s="163"/>
      <c r="G3" s="190"/>
      <c r="H3" s="269" t="s">
        <v>241</v>
      </c>
      <c r="I3" s="270"/>
      <c r="J3" s="270"/>
      <c r="K3" s="270"/>
      <c r="L3" s="270"/>
      <c r="M3" s="270"/>
      <c r="N3" s="270"/>
      <c r="O3" s="270"/>
      <c r="P3" s="270"/>
      <c r="Q3" s="271"/>
      <c r="R3" s="162" t="s">
        <v>6</v>
      </c>
      <c r="S3" s="163"/>
      <c r="T3" s="163"/>
      <c r="U3" s="163"/>
      <c r="V3" s="163"/>
      <c r="W3" s="190"/>
      <c r="X3" s="272" t="s">
        <v>222</v>
      </c>
      <c r="Y3" s="273"/>
      <c r="Z3" s="273"/>
      <c r="AA3" s="274"/>
      <c r="AB3" s="162" t="s">
        <v>7</v>
      </c>
      <c r="AC3" s="163"/>
      <c r="AD3" s="163"/>
      <c r="AE3" s="190"/>
      <c r="AF3" s="275" t="s">
        <v>152</v>
      </c>
      <c r="AG3" s="276"/>
      <c r="AH3" s="276"/>
      <c r="AI3" s="276"/>
      <c r="AJ3" s="277"/>
      <c r="AK3" s="162" t="s">
        <v>8</v>
      </c>
      <c r="AL3" s="163"/>
      <c r="AM3" s="163"/>
      <c r="AN3" s="163"/>
      <c r="AO3" s="163"/>
      <c r="AP3" s="163"/>
      <c r="AQ3" s="163"/>
      <c r="AR3" s="190"/>
      <c r="AS3" s="263" t="s">
        <v>71</v>
      </c>
      <c r="AT3" s="264"/>
      <c r="AU3" s="265"/>
    </row>
    <row r="4" spans="1:47">
      <c r="A4" s="162"/>
      <c r="B4" s="163"/>
      <c r="C4" s="163"/>
      <c r="D4" s="163"/>
      <c r="E4" s="163"/>
      <c r="F4" s="163"/>
      <c r="G4" s="163"/>
      <c r="H4" s="163"/>
      <c r="I4" s="266"/>
      <c r="J4" s="266"/>
      <c r="K4" s="266"/>
      <c r="L4" s="266"/>
      <c r="M4" s="266"/>
      <c r="N4" s="266"/>
      <c r="O4" s="266"/>
      <c r="P4" s="266"/>
      <c r="Q4" s="266"/>
      <c r="R4" s="165"/>
      <c r="S4" s="165"/>
      <c r="T4" s="165"/>
      <c r="U4" s="165"/>
      <c r="V4" s="165"/>
      <c r="W4" s="165"/>
      <c r="X4" s="204"/>
      <c r="Y4" s="204"/>
      <c r="Z4" s="204"/>
      <c r="AA4" s="204"/>
      <c r="AB4" s="165"/>
      <c r="AC4" s="165"/>
      <c r="AD4" s="165"/>
      <c r="AE4" s="165"/>
      <c r="AF4" s="165"/>
      <c r="AG4" s="267"/>
      <c r="AH4" s="267"/>
      <c r="AI4" s="267"/>
      <c r="AJ4" s="267"/>
      <c r="AK4" s="267"/>
      <c r="AL4" s="163"/>
      <c r="AM4" s="163"/>
      <c r="AN4" s="163"/>
      <c r="AO4" s="163"/>
      <c r="AP4" s="163"/>
      <c r="AQ4" s="163"/>
      <c r="AR4" s="163"/>
      <c r="AS4" s="163"/>
      <c r="AT4" s="163"/>
      <c r="AU4" s="103"/>
    </row>
    <row r="5" spans="1:47">
      <c r="A5" s="104"/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  <c r="S5" s="104"/>
      <c r="T5" s="104"/>
      <c r="U5" s="104"/>
      <c r="V5" s="104"/>
      <c r="W5" s="104"/>
      <c r="X5" s="104"/>
      <c r="Y5" s="104"/>
      <c r="Z5" s="104"/>
      <c r="AA5" s="104"/>
      <c r="AB5" s="104"/>
      <c r="AC5" s="104"/>
      <c r="AD5" s="104"/>
      <c r="AE5" s="104"/>
      <c r="AF5" s="104"/>
      <c r="AG5" s="104"/>
      <c r="AH5" s="104"/>
      <c r="AI5" s="104"/>
      <c r="AJ5" s="104"/>
      <c r="AK5" s="104"/>
      <c r="AL5" s="104"/>
      <c r="AM5" s="104"/>
      <c r="AN5" s="104"/>
      <c r="AO5" s="104"/>
      <c r="AP5" s="104"/>
      <c r="AQ5" s="104"/>
      <c r="AR5" s="104"/>
      <c r="AS5" s="104"/>
      <c r="AT5" s="104"/>
      <c r="AU5" s="104"/>
    </row>
    <row r="6" spans="1:47" ht="42" customHeight="1" thickBot="1">
      <c r="A6" s="131"/>
      <c r="B6" s="132"/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86"/>
      <c r="Q6" s="186"/>
      <c r="R6" s="186"/>
      <c r="S6" s="186"/>
      <c r="T6" s="186"/>
      <c r="U6" s="186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221"/>
      <c r="AI6" s="221"/>
      <c r="AJ6" s="221"/>
      <c r="AK6" s="221"/>
      <c r="AL6" s="221"/>
      <c r="AM6" s="186"/>
      <c r="AN6" s="186"/>
      <c r="AO6" s="186"/>
      <c r="AP6" s="186"/>
      <c r="AQ6" s="186"/>
      <c r="AR6" s="186"/>
      <c r="AS6" s="186"/>
      <c r="AT6" s="117"/>
      <c r="AU6" s="119"/>
    </row>
    <row r="7" spans="1:47" ht="15.75" thickBot="1">
      <c r="A7" s="131"/>
      <c r="B7" s="132"/>
      <c r="C7" s="132"/>
      <c r="D7" s="132"/>
      <c r="E7" s="132"/>
      <c r="F7" s="132"/>
      <c r="G7" s="132"/>
      <c r="H7" s="132"/>
      <c r="I7" s="132"/>
      <c r="J7" s="132"/>
      <c r="K7" s="132"/>
      <c r="L7" s="132"/>
      <c r="M7" s="132"/>
      <c r="N7" s="132"/>
      <c r="O7" s="156"/>
      <c r="P7" s="170" t="s">
        <v>9</v>
      </c>
      <c r="Q7" s="171"/>
      <c r="R7" s="171"/>
      <c r="S7" s="171"/>
      <c r="T7" s="171"/>
      <c r="U7" s="172"/>
      <c r="V7" s="257">
        <v>34178</v>
      </c>
      <c r="W7" s="258"/>
      <c r="X7" s="258"/>
      <c r="Y7" s="258"/>
      <c r="Z7" s="258"/>
      <c r="AA7" s="258"/>
      <c r="AB7" s="258"/>
      <c r="AC7" s="258"/>
      <c r="AD7" s="258"/>
      <c r="AE7" s="258"/>
      <c r="AF7" s="258"/>
      <c r="AG7" s="259"/>
      <c r="AH7" s="220"/>
      <c r="AI7" s="221"/>
      <c r="AJ7" s="221"/>
      <c r="AK7" s="221"/>
      <c r="AL7" s="260"/>
      <c r="AM7" s="170" t="s">
        <v>11</v>
      </c>
      <c r="AN7" s="171"/>
      <c r="AO7" s="171"/>
      <c r="AP7" s="171"/>
      <c r="AQ7" s="171"/>
      <c r="AR7" s="171"/>
      <c r="AS7" s="172"/>
      <c r="AT7" s="261">
        <v>46.53</v>
      </c>
      <c r="AU7" s="262"/>
    </row>
    <row r="8" spans="1:47">
      <c r="A8" s="253">
        <v>84</v>
      </c>
      <c r="B8" s="254"/>
      <c r="C8" s="254"/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2"/>
      <c r="P8" s="252"/>
      <c r="Q8" s="252"/>
      <c r="R8" s="252"/>
      <c r="S8" s="252"/>
      <c r="T8" s="252"/>
      <c r="U8" s="252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32"/>
      <c r="AI8" s="132"/>
      <c r="AJ8" s="132"/>
      <c r="AK8" s="132"/>
      <c r="AL8" s="132"/>
      <c r="AM8" s="140"/>
      <c r="AN8" s="140"/>
      <c r="AO8" s="140"/>
      <c r="AP8" s="140"/>
      <c r="AQ8" s="140"/>
      <c r="AR8" s="140"/>
      <c r="AS8" s="140"/>
      <c r="AT8" s="255"/>
      <c r="AU8" s="256"/>
    </row>
    <row r="9" spans="1:47">
      <c r="A9" s="131"/>
      <c r="B9" s="132"/>
      <c r="C9" s="132"/>
      <c r="D9" s="132"/>
      <c r="E9" s="132"/>
      <c r="F9" s="132"/>
      <c r="G9" s="132"/>
      <c r="H9" s="132"/>
      <c r="I9" s="132"/>
      <c r="J9" s="132"/>
      <c r="K9" s="132"/>
      <c r="L9" s="132"/>
      <c r="M9" s="132"/>
      <c r="N9" s="132"/>
      <c r="O9" s="132"/>
      <c r="P9" s="132"/>
      <c r="Q9" s="132"/>
      <c r="R9" s="132"/>
      <c r="S9" s="252"/>
      <c r="T9" s="252"/>
      <c r="U9" s="252"/>
      <c r="V9" s="132"/>
      <c r="W9" s="132"/>
      <c r="X9" s="132"/>
      <c r="Y9" s="132"/>
      <c r="Z9" s="132"/>
      <c r="AA9" s="132"/>
      <c r="AB9" s="132"/>
      <c r="AC9" s="132"/>
      <c r="AD9" s="132"/>
      <c r="AE9" s="132"/>
      <c r="AF9" s="132"/>
      <c r="AG9" s="132"/>
      <c r="AH9" s="133"/>
      <c r="AI9" s="133"/>
      <c r="AJ9" s="133"/>
      <c r="AK9" s="133"/>
      <c r="AL9" s="133"/>
      <c r="AM9" s="132"/>
      <c r="AN9" s="132"/>
      <c r="AO9" s="132"/>
      <c r="AP9" s="132"/>
      <c r="AQ9" s="132"/>
      <c r="AR9" s="132"/>
      <c r="AS9" s="132"/>
      <c r="AT9" s="132"/>
      <c r="AU9" s="156"/>
    </row>
    <row r="10" spans="1:47" ht="15.75" thickBot="1">
      <c r="A10" s="251" t="s">
        <v>46</v>
      </c>
      <c r="B10" s="184"/>
      <c r="C10" s="184"/>
      <c r="D10" s="184"/>
      <c r="E10" s="184" t="s">
        <v>117</v>
      </c>
      <c r="F10" s="184"/>
      <c r="G10" s="184"/>
      <c r="H10" s="184"/>
      <c r="I10" s="184"/>
      <c r="J10" s="184" t="s">
        <v>47</v>
      </c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8"/>
      <c r="W10" s="188"/>
      <c r="X10" s="188"/>
      <c r="Y10" s="188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88"/>
      <c r="AN10" s="188"/>
      <c r="AO10" s="188"/>
      <c r="AP10" s="188"/>
      <c r="AQ10" s="188"/>
      <c r="AR10" s="188"/>
      <c r="AS10" s="188"/>
      <c r="AT10" s="188"/>
      <c r="AU10" s="246"/>
    </row>
    <row r="11" spans="1:47" ht="15.75" hidden="1" thickBot="1">
      <c r="A11" s="167" t="s">
        <v>110</v>
      </c>
      <c r="B11" s="168"/>
      <c r="C11" s="168"/>
      <c r="D11" s="169"/>
      <c r="E11" s="122">
        <v>0</v>
      </c>
      <c r="F11" s="123"/>
      <c r="G11" s="123"/>
      <c r="H11" s="123"/>
      <c r="I11" s="124"/>
      <c r="J11" s="176">
        <v>0</v>
      </c>
      <c r="K11" s="177"/>
      <c r="L11" s="177"/>
      <c r="M11" s="177"/>
      <c r="N11" s="177"/>
      <c r="O11" s="177"/>
      <c r="P11" s="177"/>
      <c r="Q11" s="177"/>
      <c r="R11" s="177"/>
      <c r="S11" s="177"/>
      <c r="T11" s="177"/>
      <c r="U11" s="178"/>
      <c r="V11" s="206"/>
      <c r="W11" s="188"/>
      <c r="X11" s="188"/>
      <c r="Y11" s="188"/>
      <c r="Z11" s="188"/>
      <c r="AA11" s="188"/>
      <c r="AB11" s="188"/>
      <c r="AC11" s="188"/>
      <c r="AD11" s="188"/>
      <c r="AE11" s="188"/>
      <c r="AF11" s="188"/>
      <c r="AG11" s="188"/>
      <c r="AH11" s="188"/>
      <c r="AI11" s="188"/>
      <c r="AJ11" s="188"/>
      <c r="AK11" s="188"/>
      <c r="AL11" s="188"/>
      <c r="AM11" s="188"/>
      <c r="AN11" s="188"/>
      <c r="AO11" s="188"/>
      <c r="AP11" s="188"/>
      <c r="AQ11" s="188"/>
      <c r="AR11" s="188"/>
      <c r="AS11" s="188"/>
      <c r="AT11" s="188"/>
      <c r="AU11" s="246"/>
    </row>
    <row r="12" spans="1:47" ht="15.75" thickBot="1">
      <c r="A12" s="167" t="s">
        <v>111</v>
      </c>
      <c r="B12" s="168"/>
      <c r="C12" s="168"/>
      <c r="D12" s="169"/>
      <c r="E12" s="128">
        <v>6</v>
      </c>
      <c r="F12" s="129"/>
      <c r="G12" s="129"/>
      <c r="H12" s="129"/>
      <c r="I12" s="130"/>
      <c r="J12" s="125">
        <v>498</v>
      </c>
      <c r="K12" s="126"/>
      <c r="L12" s="126"/>
      <c r="M12" s="126"/>
      <c r="N12" s="126"/>
      <c r="O12" s="126"/>
      <c r="P12" s="126"/>
      <c r="Q12" s="126"/>
      <c r="R12" s="126"/>
      <c r="S12" s="126"/>
      <c r="T12" s="126"/>
      <c r="U12" s="127"/>
      <c r="V12" s="105"/>
      <c r="W12" s="106"/>
      <c r="X12" s="106"/>
      <c r="Y12" s="106"/>
      <c r="Z12" s="106"/>
      <c r="AA12" s="106"/>
      <c r="AB12" s="106"/>
      <c r="AC12" s="106"/>
      <c r="AD12" s="106"/>
      <c r="AE12" s="106"/>
      <c r="AF12" s="106"/>
      <c r="AG12" s="106"/>
      <c r="AH12" s="106"/>
      <c r="AI12" s="106"/>
      <c r="AJ12" s="106"/>
      <c r="AK12" s="106"/>
      <c r="AL12" s="106"/>
      <c r="AM12" s="106"/>
      <c r="AN12" s="106"/>
      <c r="AO12" s="106"/>
      <c r="AP12" s="106"/>
      <c r="AQ12" s="106"/>
      <c r="AR12" s="106"/>
      <c r="AS12" s="106"/>
      <c r="AT12" s="106"/>
      <c r="AU12" s="107"/>
    </row>
    <row r="13" spans="1:47" ht="15.75" thickBot="1">
      <c r="A13" s="167" t="s">
        <v>112</v>
      </c>
      <c r="B13" s="168"/>
      <c r="C13" s="168"/>
      <c r="D13" s="169"/>
      <c r="E13" s="128">
        <v>3</v>
      </c>
      <c r="F13" s="129"/>
      <c r="G13" s="129"/>
      <c r="H13" s="129"/>
      <c r="I13" s="130"/>
      <c r="J13" s="125">
        <v>207</v>
      </c>
      <c r="K13" s="126"/>
      <c r="L13" s="126"/>
      <c r="M13" s="126"/>
      <c r="N13" s="126"/>
      <c r="O13" s="126"/>
      <c r="P13" s="126"/>
      <c r="Q13" s="126"/>
      <c r="R13" s="126"/>
      <c r="S13" s="126"/>
      <c r="T13" s="126"/>
      <c r="U13" s="127"/>
      <c r="V13" s="206"/>
      <c r="W13" s="188"/>
      <c r="X13" s="188"/>
      <c r="Y13" s="188"/>
      <c r="Z13" s="188"/>
      <c r="AA13" s="188"/>
      <c r="AB13" s="188"/>
      <c r="AC13" s="188"/>
      <c r="AD13" s="188"/>
      <c r="AE13" s="188"/>
      <c r="AF13" s="188"/>
      <c r="AG13" s="188"/>
      <c r="AH13" s="188"/>
      <c r="AI13" s="188"/>
      <c r="AJ13" s="188"/>
      <c r="AK13" s="188"/>
      <c r="AL13" s="188"/>
      <c r="AM13" s="188"/>
      <c r="AN13" s="188"/>
      <c r="AO13" s="188"/>
      <c r="AP13" s="188"/>
      <c r="AQ13" s="188"/>
      <c r="AR13" s="188"/>
      <c r="AS13" s="188"/>
      <c r="AT13" s="188"/>
      <c r="AU13" s="246"/>
    </row>
    <row r="14" spans="1:47" ht="15.75" thickBot="1">
      <c r="A14" s="167" t="s">
        <v>19</v>
      </c>
      <c r="B14" s="168"/>
      <c r="C14" s="168"/>
      <c r="D14" s="169"/>
      <c r="E14" s="128">
        <v>1</v>
      </c>
      <c r="F14" s="129"/>
      <c r="G14" s="129"/>
      <c r="H14" s="129"/>
      <c r="I14" s="130"/>
      <c r="J14" s="125">
        <v>35</v>
      </c>
      <c r="K14" s="126"/>
      <c r="L14" s="126"/>
      <c r="M14" s="126"/>
      <c r="N14" s="126"/>
      <c r="O14" s="126"/>
      <c r="P14" s="126"/>
      <c r="Q14" s="126"/>
      <c r="R14" s="126"/>
      <c r="S14" s="126"/>
      <c r="T14" s="126"/>
      <c r="U14" s="127"/>
      <c r="V14" s="206"/>
      <c r="W14" s="188"/>
      <c r="X14" s="188"/>
      <c r="Y14" s="188"/>
      <c r="Z14" s="188"/>
      <c r="AA14" s="188"/>
      <c r="AB14" s="180"/>
      <c r="AC14" s="180"/>
      <c r="AD14" s="180"/>
      <c r="AE14" s="108"/>
      <c r="AF14" s="188"/>
      <c r="AG14" s="188"/>
      <c r="AH14" s="188"/>
      <c r="AI14" s="188"/>
      <c r="AJ14" s="188"/>
      <c r="AK14" s="188"/>
      <c r="AL14" s="188"/>
      <c r="AM14" s="188"/>
      <c r="AN14" s="188"/>
      <c r="AO14" s="188"/>
      <c r="AP14" s="188"/>
      <c r="AQ14" s="188"/>
      <c r="AR14" s="188"/>
      <c r="AS14" s="188"/>
      <c r="AT14" s="188"/>
      <c r="AU14" s="246"/>
    </row>
    <row r="15" spans="1:47" ht="15.75" thickBot="1">
      <c r="A15" s="200" t="s">
        <v>113</v>
      </c>
      <c r="B15" s="201"/>
      <c r="C15" s="201"/>
      <c r="D15" s="222"/>
      <c r="E15" s="128">
        <v>0</v>
      </c>
      <c r="F15" s="129"/>
      <c r="G15" s="129"/>
      <c r="H15" s="129"/>
      <c r="I15" s="130"/>
      <c r="J15" s="125">
        <v>0</v>
      </c>
      <c r="K15" s="126"/>
      <c r="L15" s="126"/>
      <c r="M15" s="126"/>
      <c r="N15" s="126"/>
      <c r="O15" s="126"/>
      <c r="P15" s="126"/>
      <c r="Q15" s="126"/>
      <c r="R15" s="126"/>
      <c r="S15" s="126"/>
      <c r="T15" s="126"/>
      <c r="U15" s="127"/>
      <c r="V15" s="206"/>
      <c r="W15" s="188"/>
      <c r="X15" s="188"/>
      <c r="Y15" s="188"/>
      <c r="Z15" s="188"/>
      <c r="AA15" s="188"/>
      <c r="AB15" s="188"/>
      <c r="AC15" s="188"/>
      <c r="AD15" s="188"/>
      <c r="AE15" s="188"/>
      <c r="AF15" s="188"/>
      <c r="AG15" s="188"/>
      <c r="AH15" s="188"/>
      <c r="AI15" s="188"/>
      <c r="AJ15" s="188"/>
      <c r="AK15" s="188"/>
      <c r="AL15" s="188"/>
      <c r="AM15" s="188"/>
      <c r="AN15" s="188"/>
      <c r="AO15" s="188"/>
      <c r="AP15" s="188"/>
      <c r="AQ15" s="188"/>
      <c r="AR15" s="188"/>
      <c r="AS15" s="188"/>
      <c r="AT15" s="188"/>
      <c r="AU15" s="246"/>
    </row>
    <row r="16" spans="1:47">
      <c r="A16" s="180" t="s">
        <v>171</v>
      </c>
      <c r="B16" s="180"/>
      <c r="C16" s="180"/>
      <c r="D16" s="180"/>
      <c r="E16" s="180"/>
      <c r="F16" s="180"/>
      <c r="G16" s="180"/>
      <c r="H16" s="180"/>
      <c r="I16" s="180"/>
      <c r="J16" s="180"/>
      <c r="K16" s="180"/>
      <c r="L16" s="180"/>
      <c r="M16" s="180"/>
      <c r="N16" s="180"/>
      <c r="O16" s="180"/>
      <c r="P16" s="180"/>
      <c r="Q16" s="180"/>
      <c r="R16" s="180"/>
      <c r="S16" s="180"/>
      <c r="T16" s="180"/>
      <c r="U16" s="180"/>
      <c r="V16" s="188"/>
      <c r="W16" s="188"/>
      <c r="X16" s="188"/>
      <c r="Y16" s="188"/>
      <c r="Z16" s="188"/>
      <c r="AA16" s="188"/>
      <c r="AB16" s="180"/>
      <c r="AC16" s="180"/>
      <c r="AD16" s="180"/>
      <c r="AE16" s="108"/>
      <c r="AF16" s="188"/>
      <c r="AG16" s="188"/>
      <c r="AH16" s="188"/>
      <c r="AI16" s="188"/>
      <c r="AJ16" s="188"/>
      <c r="AK16" s="188"/>
      <c r="AL16" s="188"/>
      <c r="AM16" s="188"/>
      <c r="AN16" s="188"/>
      <c r="AO16" s="188"/>
      <c r="AP16" s="188"/>
      <c r="AQ16" s="188"/>
      <c r="AR16" s="188"/>
      <c r="AS16" s="188"/>
      <c r="AT16" s="188"/>
      <c r="AU16" s="246"/>
    </row>
    <row r="17" spans="1:47">
      <c r="A17" s="247" t="s">
        <v>238</v>
      </c>
      <c r="B17" s="247"/>
      <c r="C17" s="247"/>
      <c r="D17" s="247"/>
      <c r="E17" s="249" t="s">
        <v>217</v>
      </c>
      <c r="F17" s="249"/>
      <c r="G17" s="249"/>
      <c r="H17" s="249"/>
      <c r="I17" s="249"/>
      <c r="J17" s="249"/>
      <c r="K17" s="249"/>
      <c r="L17" s="249"/>
      <c r="M17" s="249"/>
      <c r="N17" s="249"/>
      <c r="O17" s="250" t="s">
        <v>239</v>
      </c>
      <c r="P17" s="249"/>
      <c r="Q17" s="249"/>
      <c r="R17" s="249"/>
      <c r="S17" s="249"/>
      <c r="T17" s="249"/>
      <c r="U17" s="249"/>
      <c r="V17" s="248" t="s">
        <v>237</v>
      </c>
      <c r="W17" s="248"/>
      <c r="X17" s="248"/>
      <c r="Y17" s="248"/>
      <c r="Z17" s="132"/>
      <c r="AA17" s="132"/>
      <c r="AB17" s="132"/>
      <c r="AC17" s="132"/>
      <c r="AD17" s="132"/>
      <c r="AE17" s="132"/>
      <c r="AF17" s="132"/>
      <c r="AG17" s="132"/>
      <c r="AH17" s="165"/>
      <c r="AI17" s="165"/>
      <c r="AJ17" s="165"/>
      <c r="AK17" s="165"/>
      <c r="AL17" s="165"/>
      <c r="AM17" s="133"/>
      <c r="AN17" s="133"/>
      <c r="AO17" s="133"/>
      <c r="AP17" s="133"/>
      <c r="AQ17" s="133"/>
      <c r="AR17" s="133"/>
      <c r="AS17" s="133"/>
      <c r="AT17" s="243"/>
      <c r="AU17" s="244"/>
    </row>
    <row r="18" spans="1:47" ht="15.75" thickBot="1">
      <c r="A18" s="206"/>
      <c r="B18" s="188"/>
      <c r="C18" s="188"/>
      <c r="D18" s="188"/>
      <c r="E18" s="132"/>
      <c r="F18" s="132"/>
      <c r="G18" s="132"/>
      <c r="H18" s="132"/>
      <c r="I18" s="132"/>
      <c r="J18" s="165"/>
      <c r="K18" s="165"/>
      <c r="L18" s="165"/>
      <c r="M18" s="165"/>
      <c r="N18" s="165"/>
      <c r="O18" s="165"/>
      <c r="P18" s="165"/>
      <c r="Q18" s="165"/>
      <c r="R18" s="165"/>
      <c r="S18" s="165"/>
      <c r="T18" s="165"/>
      <c r="U18" s="165"/>
      <c r="V18" s="245"/>
      <c r="W18" s="245"/>
      <c r="X18" s="245"/>
      <c r="Y18" s="245"/>
      <c r="Z18" s="117"/>
      <c r="AA18" s="117"/>
      <c r="AB18" s="117"/>
      <c r="AC18" s="117"/>
      <c r="AD18" s="117"/>
      <c r="AE18" s="117"/>
      <c r="AF18" s="117"/>
      <c r="AG18" s="117"/>
      <c r="AH18" s="165"/>
      <c r="AI18" s="165"/>
      <c r="AJ18" s="165"/>
      <c r="AK18" s="165"/>
      <c r="AL18" s="165"/>
      <c r="AM18" s="133"/>
      <c r="AN18" s="133"/>
      <c r="AO18" s="133"/>
      <c r="AP18" s="133"/>
      <c r="AQ18" s="133"/>
      <c r="AR18" s="133"/>
      <c r="AS18" s="133"/>
      <c r="AT18" s="243" t="s">
        <v>16</v>
      </c>
      <c r="AU18" s="244"/>
    </row>
    <row r="19" spans="1:47" ht="15.75" thickBot="1">
      <c r="A19" s="188" t="s">
        <v>24</v>
      </c>
      <c r="B19" s="188"/>
      <c r="C19" s="188"/>
      <c r="D19" s="188"/>
      <c r="E19" s="122">
        <f>SUM(E11:I14)</f>
        <v>10</v>
      </c>
      <c r="F19" s="123"/>
      <c r="G19" s="123"/>
      <c r="H19" s="123"/>
      <c r="I19" s="124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25">
        <v>740</v>
      </c>
      <c r="W19" s="126"/>
      <c r="X19" s="126"/>
      <c r="Y19" s="126"/>
      <c r="Z19" s="126"/>
      <c r="AA19" s="126"/>
      <c r="AB19" s="126"/>
      <c r="AC19" s="126"/>
      <c r="AD19" s="126"/>
      <c r="AE19" s="126"/>
      <c r="AF19" s="126"/>
      <c r="AG19" s="127"/>
      <c r="AH19" s="220"/>
      <c r="AI19" s="221"/>
      <c r="AJ19" s="221"/>
      <c r="AK19" s="221"/>
      <c r="AL19" s="221"/>
      <c r="AM19" s="132"/>
      <c r="AN19" s="132"/>
      <c r="AO19" s="132"/>
      <c r="AP19" s="132"/>
      <c r="AQ19" s="132"/>
      <c r="AR19" s="132"/>
      <c r="AS19" s="132"/>
      <c r="AT19" s="125">
        <v>-5.149</v>
      </c>
      <c r="AU19" s="127"/>
    </row>
    <row r="20" spans="1:47">
      <c r="A20" s="179"/>
      <c r="B20" s="180"/>
      <c r="C20" s="180"/>
      <c r="D20" s="180"/>
      <c r="E20" s="132"/>
      <c r="F20" s="132"/>
      <c r="G20" s="132"/>
      <c r="H20" s="132"/>
      <c r="I20" s="132"/>
      <c r="J20" s="132"/>
      <c r="K20" s="132"/>
      <c r="L20" s="132"/>
      <c r="M20" s="132"/>
      <c r="N20" s="132"/>
      <c r="O20" s="132"/>
      <c r="P20" s="132"/>
      <c r="Q20" s="132"/>
      <c r="R20" s="132"/>
      <c r="S20" s="132"/>
      <c r="T20" s="132"/>
      <c r="U20" s="132"/>
      <c r="V20" s="140"/>
      <c r="W20" s="140"/>
      <c r="X20" s="140"/>
      <c r="Y20" s="140"/>
      <c r="Z20" s="218"/>
      <c r="AA20" s="218"/>
      <c r="AB20" s="218"/>
      <c r="AC20" s="218"/>
      <c r="AD20" s="218"/>
      <c r="AE20" s="218"/>
      <c r="AF20" s="218"/>
      <c r="AG20" s="218"/>
      <c r="AH20" s="104"/>
      <c r="AI20" s="104"/>
      <c r="AJ20" s="104"/>
      <c r="AK20" s="104"/>
      <c r="AL20" s="104"/>
      <c r="AM20" s="242"/>
      <c r="AN20" s="242"/>
      <c r="AO20" s="242"/>
      <c r="AP20" s="242"/>
      <c r="AQ20" s="242"/>
      <c r="AR20" s="242"/>
      <c r="AS20" s="242"/>
      <c r="AT20" s="132"/>
      <c r="AU20" s="156"/>
    </row>
    <row r="21" spans="1:47" ht="15.75" thickBot="1">
      <c r="A21" s="206" t="s">
        <v>25</v>
      </c>
      <c r="B21" s="188"/>
      <c r="C21" s="188"/>
      <c r="D21" s="188"/>
      <c r="E21" s="188" t="s">
        <v>14</v>
      </c>
      <c r="F21" s="188"/>
      <c r="G21" s="188"/>
      <c r="H21" s="188"/>
      <c r="I21" s="188"/>
      <c r="J21" s="188"/>
      <c r="K21" s="188"/>
      <c r="L21" s="188"/>
      <c r="M21" s="188"/>
      <c r="N21" s="188"/>
      <c r="O21" s="188"/>
      <c r="P21" s="188"/>
      <c r="Q21" s="188"/>
      <c r="R21" s="188"/>
      <c r="S21" s="188"/>
      <c r="T21" s="188"/>
      <c r="U21" s="188"/>
      <c r="V21" s="188"/>
      <c r="W21" s="188"/>
      <c r="X21" s="188"/>
      <c r="Y21" s="188"/>
      <c r="Z21" s="132"/>
      <c r="AA21" s="132"/>
      <c r="AB21" s="132"/>
      <c r="AC21" s="132"/>
      <c r="AD21" s="132"/>
      <c r="AE21" s="132"/>
      <c r="AF21" s="132"/>
      <c r="AG21" s="132"/>
      <c r="AH21" s="104"/>
      <c r="AI21" s="104"/>
      <c r="AJ21" s="104"/>
      <c r="AK21" s="104"/>
      <c r="AL21" s="104"/>
      <c r="AM21" s="188"/>
      <c r="AN21" s="188"/>
      <c r="AO21" s="188"/>
      <c r="AP21" s="188"/>
      <c r="AQ21" s="188"/>
      <c r="AR21" s="188"/>
      <c r="AS21" s="188"/>
      <c r="AT21" s="240" t="s">
        <v>16</v>
      </c>
      <c r="AU21" s="241"/>
    </row>
    <row r="22" spans="1:47" ht="15.75" thickBot="1">
      <c r="A22" s="185" t="s">
        <v>73</v>
      </c>
      <c r="B22" s="186"/>
      <c r="C22" s="186"/>
      <c r="D22" s="186"/>
      <c r="E22" s="226">
        <v>100</v>
      </c>
      <c r="F22" s="227"/>
      <c r="G22" s="227"/>
      <c r="H22" s="227"/>
      <c r="I22" s="227"/>
      <c r="J22" s="227"/>
      <c r="K22" s="227"/>
      <c r="L22" s="227"/>
      <c r="M22" s="227"/>
      <c r="N22" s="227"/>
      <c r="O22" s="227"/>
      <c r="P22" s="227"/>
      <c r="Q22" s="227"/>
      <c r="R22" s="227"/>
      <c r="S22" s="227"/>
      <c r="T22" s="227"/>
      <c r="U22" s="228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04"/>
      <c r="AI22" s="104"/>
      <c r="AJ22" s="104"/>
      <c r="AK22" s="104"/>
      <c r="AL22" s="104"/>
      <c r="AM22" s="132"/>
      <c r="AN22" s="132"/>
      <c r="AO22" s="132"/>
      <c r="AP22" s="132"/>
      <c r="AQ22" s="132"/>
      <c r="AR22" s="132"/>
      <c r="AS22" s="156"/>
      <c r="AT22" s="210">
        <f>E22*Cargo!B6</f>
        <v>-1.252258064516129</v>
      </c>
      <c r="AU22" s="211"/>
    </row>
    <row r="23" spans="1:47" ht="15.75" thickBot="1">
      <c r="A23" s="167" t="s">
        <v>74</v>
      </c>
      <c r="B23" s="168"/>
      <c r="C23" s="168"/>
      <c r="D23" s="168"/>
      <c r="E23" s="226">
        <v>200</v>
      </c>
      <c r="F23" s="227"/>
      <c r="G23" s="227"/>
      <c r="H23" s="227"/>
      <c r="I23" s="227"/>
      <c r="J23" s="227"/>
      <c r="K23" s="227"/>
      <c r="L23" s="227"/>
      <c r="M23" s="227"/>
      <c r="N23" s="227"/>
      <c r="O23" s="227"/>
      <c r="P23" s="227"/>
      <c r="Q23" s="227"/>
      <c r="R23" s="227"/>
      <c r="S23" s="227"/>
      <c r="T23" s="227"/>
      <c r="U23" s="228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04"/>
      <c r="AI23" s="104"/>
      <c r="AJ23" s="104"/>
      <c r="AK23" s="104"/>
      <c r="AL23" s="104"/>
      <c r="AM23" s="132"/>
      <c r="AN23" s="132"/>
      <c r="AO23" s="132"/>
      <c r="AP23" s="132"/>
      <c r="AQ23" s="132"/>
      <c r="AR23" s="132"/>
      <c r="AS23" s="156"/>
      <c r="AT23" s="238">
        <f>E23*Cargo!C6</f>
        <v>2.3080645161290327</v>
      </c>
      <c r="AU23" s="239"/>
    </row>
    <row r="24" spans="1:47" ht="15.75" thickBot="1">
      <c r="A24" s="160" t="s">
        <v>24</v>
      </c>
      <c r="B24" s="141"/>
      <c r="C24" s="141"/>
      <c r="D24" s="141"/>
      <c r="E24" s="205"/>
      <c r="F24" s="205"/>
      <c r="G24" s="205"/>
      <c r="H24" s="205"/>
      <c r="I24" s="205"/>
      <c r="J24" s="205"/>
      <c r="K24" s="205"/>
      <c r="L24" s="205"/>
      <c r="M24" s="205"/>
      <c r="N24" s="205"/>
      <c r="O24" s="205"/>
      <c r="P24" s="205"/>
      <c r="Q24" s="205"/>
      <c r="R24" s="205"/>
      <c r="S24" s="205"/>
      <c r="T24" s="205"/>
      <c r="U24" s="237"/>
      <c r="V24" s="125">
        <f>SUM(E22:U23)</f>
        <v>300</v>
      </c>
      <c r="W24" s="126"/>
      <c r="X24" s="126"/>
      <c r="Y24" s="126"/>
      <c r="Z24" s="126"/>
      <c r="AA24" s="126"/>
      <c r="AB24" s="126"/>
      <c r="AC24" s="126"/>
      <c r="AD24" s="126"/>
      <c r="AE24" s="126"/>
      <c r="AF24" s="126"/>
      <c r="AG24" s="127"/>
      <c r="AH24" s="220"/>
      <c r="AI24" s="221"/>
      <c r="AJ24" s="221"/>
      <c r="AK24" s="221"/>
      <c r="AL24" s="221"/>
      <c r="AM24" s="188"/>
      <c r="AN24" s="188"/>
      <c r="AO24" s="188"/>
      <c r="AP24" s="188"/>
      <c r="AQ24" s="188"/>
      <c r="AR24" s="188"/>
      <c r="AS24" s="188"/>
      <c r="AT24" s="139"/>
      <c r="AU24" s="142"/>
    </row>
    <row r="25" spans="1:47" ht="15.75" thickBot="1">
      <c r="A25" s="179"/>
      <c r="B25" s="180"/>
      <c r="C25" s="180"/>
      <c r="D25" s="180"/>
      <c r="E25" s="117"/>
      <c r="F25" s="117"/>
      <c r="G25" s="117"/>
      <c r="H25" s="117"/>
      <c r="I25" s="117"/>
      <c r="J25" s="132"/>
      <c r="K25" s="132"/>
      <c r="L25" s="132"/>
      <c r="M25" s="132"/>
      <c r="N25" s="132"/>
      <c r="O25" s="132"/>
      <c r="P25" s="170" t="s">
        <v>99</v>
      </c>
      <c r="Q25" s="171"/>
      <c r="R25" s="171"/>
      <c r="S25" s="171"/>
      <c r="T25" s="171"/>
      <c r="U25" s="172"/>
      <c r="V25" s="125">
        <f>V19+V24</f>
        <v>1040</v>
      </c>
      <c r="W25" s="126"/>
      <c r="X25" s="126"/>
      <c r="Y25" s="126"/>
      <c r="Z25" s="126"/>
      <c r="AA25" s="126"/>
      <c r="AB25" s="126"/>
      <c r="AC25" s="126"/>
      <c r="AD25" s="126"/>
      <c r="AE25" s="126"/>
      <c r="AF25" s="126"/>
      <c r="AG25" s="127"/>
      <c r="AH25" s="132"/>
      <c r="AI25" s="132"/>
      <c r="AJ25" s="132"/>
      <c r="AK25" s="132"/>
      <c r="AL25" s="132"/>
      <c r="AM25" s="132"/>
      <c r="AN25" s="132"/>
      <c r="AO25" s="132"/>
      <c r="AP25" s="132"/>
      <c r="AQ25" s="132"/>
      <c r="AR25" s="132"/>
      <c r="AS25" s="132"/>
      <c r="AT25" s="235"/>
      <c r="AU25" s="236"/>
    </row>
    <row r="26" spans="1:47" ht="15.75" thickBot="1">
      <c r="A26" s="2"/>
      <c r="B26" s="167" t="s">
        <v>28</v>
      </c>
      <c r="C26" s="168"/>
      <c r="D26" s="168"/>
      <c r="E26" s="168"/>
      <c r="F26" s="168"/>
      <c r="G26" s="168"/>
      <c r="H26" s="168"/>
      <c r="I26" s="169"/>
      <c r="J26" s="179"/>
      <c r="K26" s="180"/>
      <c r="L26" s="180"/>
      <c r="M26" s="180"/>
      <c r="N26" s="180"/>
      <c r="O26" s="180"/>
      <c r="P26" s="117"/>
      <c r="Q26" s="117"/>
      <c r="R26" s="117"/>
      <c r="S26" s="117"/>
      <c r="T26" s="117"/>
      <c r="U26" s="117"/>
      <c r="V26" s="118"/>
      <c r="W26" s="118"/>
      <c r="X26" s="118"/>
      <c r="Y26" s="118"/>
      <c r="Z26" s="186"/>
      <c r="AA26" s="186"/>
      <c r="AB26" s="186"/>
      <c r="AC26" s="186"/>
      <c r="AD26" s="186"/>
      <c r="AE26" s="186"/>
      <c r="AF26" s="186"/>
      <c r="AG26" s="186"/>
      <c r="AH26" s="132"/>
      <c r="AI26" s="132"/>
      <c r="AJ26" s="132"/>
      <c r="AK26" s="132"/>
      <c r="AL26" s="132"/>
      <c r="AM26" s="117"/>
      <c r="AN26" s="117"/>
      <c r="AO26" s="117"/>
      <c r="AP26" s="117"/>
      <c r="AQ26" s="117"/>
      <c r="AR26" s="117"/>
      <c r="AS26" s="117"/>
      <c r="AT26" s="117"/>
      <c r="AU26" s="119"/>
    </row>
    <row r="27" spans="1:47" ht="15.75" thickBot="1">
      <c r="A27" s="2"/>
      <c r="B27" s="191">
        <f>Tabelle1!A87</f>
        <v>46700</v>
      </c>
      <c r="C27" s="192"/>
      <c r="D27" s="192"/>
      <c r="E27" s="192"/>
      <c r="F27" s="192"/>
      <c r="G27" s="192"/>
      <c r="H27" s="192"/>
      <c r="I27" s="193"/>
      <c r="J27" s="131" t="s">
        <v>10</v>
      </c>
      <c r="K27" s="132"/>
      <c r="L27" s="132"/>
      <c r="M27" s="132"/>
      <c r="N27" s="132"/>
      <c r="O27" s="156"/>
      <c r="P27" s="170" t="s">
        <v>29</v>
      </c>
      <c r="Q27" s="171"/>
      <c r="R27" s="171"/>
      <c r="S27" s="171"/>
      <c r="T27" s="171"/>
      <c r="U27" s="172"/>
      <c r="V27" s="125">
        <f>V7+V19+V24</f>
        <v>35218</v>
      </c>
      <c r="W27" s="126"/>
      <c r="X27" s="126"/>
      <c r="Y27" s="126"/>
      <c r="Z27" s="126"/>
      <c r="AA27" s="126"/>
      <c r="AB27" s="126"/>
      <c r="AC27" s="126"/>
      <c r="AD27" s="126"/>
      <c r="AE27" s="126"/>
      <c r="AF27" s="126"/>
      <c r="AG27" s="127"/>
      <c r="AH27" s="143"/>
      <c r="AI27" s="133"/>
      <c r="AJ27" s="133"/>
      <c r="AK27" s="133"/>
      <c r="AL27" s="144"/>
      <c r="AM27" s="170" t="s">
        <v>30</v>
      </c>
      <c r="AN27" s="171"/>
      <c r="AO27" s="171"/>
      <c r="AP27" s="171"/>
      <c r="AQ27" s="171"/>
      <c r="AR27" s="171"/>
      <c r="AS27" s="172"/>
      <c r="AT27" s="214">
        <f>ROUND(SUM(AT7,SUM(AT19),SUM(AT22:AU23)),4)</f>
        <v>42.436799999999998</v>
      </c>
      <c r="AU27" s="215"/>
    </row>
    <row r="28" spans="1:47" ht="15.75" thickBot="1">
      <c r="A28" s="3" t="s">
        <v>31</v>
      </c>
      <c r="B28" s="191">
        <f>B27-V27</f>
        <v>11482</v>
      </c>
      <c r="C28" s="192"/>
      <c r="D28" s="192"/>
      <c r="E28" s="192"/>
      <c r="F28" s="192"/>
      <c r="G28" s="192"/>
      <c r="H28" s="192"/>
      <c r="I28" s="193"/>
      <c r="J28" s="131" t="s">
        <v>10</v>
      </c>
      <c r="K28" s="132"/>
      <c r="L28" s="132"/>
      <c r="M28" s="132"/>
      <c r="N28" s="132"/>
      <c r="O28" s="132"/>
      <c r="P28" s="140" t="s">
        <v>102</v>
      </c>
      <c r="Q28" s="140"/>
      <c r="R28" s="140"/>
      <c r="S28" s="140"/>
      <c r="T28" s="140"/>
      <c r="U28" s="140"/>
      <c r="V28" s="204"/>
      <c r="W28" s="204"/>
      <c r="X28" s="204"/>
      <c r="Y28" s="204"/>
      <c r="Z28" s="218">
        <v>35647</v>
      </c>
      <c r="AA28" s="218"/>
      <c r="AB28" s="218"/>
      <c r="AC28" s="218"/>
      <c r="AD28" s="218"/>
      <c r="AE28" s="218"/>
      <c r="AF28" s="218"/>
      <c r="AG28" s="218"/>
      <c r="AH28" s="132"/>
      <c r="AI28" s="132"/>
      <c r="AJ28" s="132"/>
      <c r="AK28" s="132"/>
      <c r="AL28" s="132"/>
      <c r="AM28" s="140"/>
      <c r="AN28" s="140"/>
      <c r="AO28" s="140"/>
      <c r="AP28" s="140"/>
      <c r="AQ28" s="140"/>
      <c r="AR28" s="140"/>
      <c r="AS28" s="140"/>
      <c r="AT28" s="233">
        <f>((((AT27-51)*620/V27)+16)-15)/3.665*100</f>
        <v>23.171841696664316</v>
      </c>
      <c r="AU28" s="234"/>
    </row>
    <row r="29" spans="1:47">
      <c r="A29" s="206"/>
      <c r="B29" s="188"/>
      <c r="C29" s="188"/>
      <c r="D29" s="188"/>
      <c r="E29" s="141"/>
      <c r="F29" s="141"/>
      <c r="G29" s="141"/>
      <c r="H29" s="141"/>
      <c r="I29" s="141"/>
      <c r="J29" s="132"/>
      <c r="K29" s="132"/>
      <c r="L29" s="132"/>
      <c r="M29" s="132"/>
      <c r="N29" s="132"/>
      <c r="O29" s="132"/>
      <c r="P29" s="188"/>
      <c r="Q29" s="188"/>
      <c r="R29" s="188"/>
      <c r="S29" s="188"/>
      <c r="T29" s="188"/>
      <c r="U29" s="188"/>
      <c r="V29" s="132"/>
      <c r="W29" s="132"/>
      <c r="X29" s="132"/>
      <c r="Y29" s="132"/>
      <c r="Z29" s="232"/>
      <c r="AA29" s="232"/>
      <c r="AB29" s="232"/>
      <c r="AC29" s="232"/>
      <c r="AD29" s="232"/>
      <c r="AE29" s="232"/>
      <c r="AF29" s="232"/>
      <c r="AG29" s="232"/>
      <c r="AH29" s="132"/>
      <c r="AI29" s="132"/>
      <c r="AJ29" s="132"/>
      <c r="AK29" s="132"/>
      <c r="AL29" s="132"/>
      <c r="AM29" s="188"/>
      <c r="AN29" s="188"/>
      <c r="AO29" s="188"/>
      <c r="AP29" s="188"/>
      <c r="AQ29" s="188"/>
      <c r="AR29" s="188"/>
      <c r="AS29" s="188"/>
      <c r="AT29" s="229"/>
      <c r="AU29" s="230"/>
    </row>
    <row r="30" spans="1:47" ht="15.75" thickBot="1">
      <c r="A30" s="179" t="s">
        <v>32</v>
      </c>
      <c r="B30" s="180"/>
      <c r="C30" s="180"/>
      <c r="D30" s="180"/>
      <c r="E30" s="188" t="s">
        <v>14</v>
      </c>
      <c r="F30" s="188"/>
      <c r="G30" s="188"/>
      <c r="H30" s="188"/>
      <c r="I30" s="188"/>
      <c r="J30" s="188"/>
      <c r="K30" s="188"/>
      <c r="L30" s="188"/>
      <c r="M30" s="188"/>
      <c r="N30" s="188"/>
      <c r="O30" s="188"/>
      <c r="P30" s="188"/>
      <c r="Q30" s="188"/>
      <c r="R30" s="188"/>
      <c r="S30" s="188"/>
      <c r="T30" s="188"/>
      <c r="U30" s="188"/>
      <c r="V30" s="132"/>
      <c r="W30" s="132"/>
      <c r="X30" s="132"/>
      <c r="Y30" s="132"/>
      <c r="Z30" s="132"/>
      <c r="AA30" s="132"/>
      <c r="AB30" s="132"/>
      <c r="AC30" s="132"/>
      <c r="AD30" s="132"/>
      <c r="AE30" s="132"/>
      <c r="AF30" s="132"/>
      <c r="AG30" s="132"/>
      <c r="AH30" s="132"/>
      <c r="AI30" s="132"/>
      <c r="AJ30" s="132"/>
      <c r="AK30" s="132"/>
      <c r="AL30" s="132"/>
      <c r="AM30" s="132"/>
      <c r="AN30" s="132"/>
      <c r="AO30" s="132"/>
      <c r="AP30" s="132"/>
      <c r="AQ30" s="132"/>
      <c r="AR30" s="132"/>
      <c r="AS30" s="132"/>
      <c r="AT30" s="184" t="s">
        <v>16</v>
      </c>
      <c r="AU30" s="231"/>
    </row>
    <row r="31" spans="1:47" ht="15.75" thickBot="1">
      <c r="A31" s="185" t="s">
        <v>220</v>
      </c>
      <c r="B31" s="186"/>
      <c r="C31" s="186"/>
      <c r="D31" s="186"/>
      <c r="E31" s="226">
        <v>6300</v>
      </c>
      <c r="F31" s="227"/>
      <c r="G31" s="227"/>
      <c r="H31" s="227"/>
      <c r="I31" s="227"/>
      <c r="J31" s="227"/>
      <c r="K31" s="227"/>
      <c r="L31" s="227"/>
      <c r="M31" s="227"/>
      <c r="N31" s="227"/>
      <c r="O31" s="227"/>
      <c r="P31" s="227"/>
      <c r="Q31" s="227"/>
      <c r="R31" s="227"/>
      <c r="S31" s="227"/>
      <c r="T31" s="227"/>
      <c r="U31" s="228"/>
      <c r="V31" s="132"/>
      <c r="W31" s="132"/>
      <c r="X31" s="132"/>
      <c r="Y31" s="132"/>
      <c r="Z31" s="132"/>
      <c r="AA31" s="132"/>
      <c r="AB31" s="132"/>
      <c r="AC31" s="132"/>
      <c r="AD31" s="132"/>
      <c r="AE31" s="132"/>
      <c r="AF31" s="132"/>
      <c r="AG31" s="132"/>
      <c r="AH31" s="132"/>
      <c r="AI31" s="132"/>
      <c r="AJ31" s="132"/>
      <c r="AK31" s="132"/>
      <c r="AL31" s="132"/>
      <c r="AM31" s="132"/>
      <c r="AN31" s="132"/>
      <c r="AO31" s="132"/>
      <c r="AP31" s="132"/>
      <c r="AQ31" s="132"/>
      <c r="AR31" s="132"/>
      <c r="AS31" s="156"/>
      <c r="AT31" s="223">
        <v>-3.7372000000000005</v>
      </c>
      <c r="AU31" s="224"/>
    </row>
    <row r="32" spans="1:47" ht="15.75" thickBot="1">
      <c r="A32" s="201"/>
      <c r="B32" s="201"/>
      <c r="C32" s="201"/>
      <c r="D32" s="201"/>
      <c r="E32" s="225"/>
      <c r="F32" s="225"/>
      <c r="G32" s="225"/>
      <c r="H32" s="225"/>
      <c r="I32" s="225"/>
      <c r="J32" s="225"/>
      <c r="K32" s="225"/>
      <c r="L32" s="225"/>
      <c r="M32" s="225"/>
      <c r="N32" s="225"/>
      <c r="O32" s="225"/>
      <c r="P32" s="225"/>
      <c r="Q32" s="225"/>
      <c r="R32" s="225"/>
      <c r="S32" s="225"/>
      <c r="T32" s="225"/>
      <c r="U32" s="225"/>
      <c r="V32" s="117"/>
      <c r="W32" s="117"/>
      <c r="X32" s="117"/>
      <c r="Y32" s="117"/>
      <c r="Z32" s="117"/>
      <c r="AA32" s="117"/>
      <c r="AB32" s="117"/>
      <c r="AC32" s="117"/>
      <c r="AD32" s="117"/>
      <c r="AE32" s="117"/>
      <c r="AF32" s="117"/>
      <c r="AG32" s="117"/>
      <c r="AH32" s="132"/>
      <c r="AI32" s="132"/>
      <c r="AJ32" s="132"/>
      <c r="AK32" s="132"/>
      <c r="AL32" s="132"/>
      <c r="AM32" s="132"/>
      <c r="AN32" s="132"/>
      <c r="AO32" s="132"/>
      <c r="AP32" s="132"/>
      <c r="AQ32" s="132"/>
      <c r="AR32" s="132"/>
      <c r="AS32" s="156"/>
      <c r="AT32" s="128">
        <v>0</v>
      </c>
      <c r="AU32" s="130"/>
    </row>
    <row r="33" spans="1:47" ht="15.75" thickBot="1">
      <c r="A33" s="206" t="s">
        <v>24</v>
      </c>
      <c r="B33" s="188"/>
      <c r="C33" s="188"/>
      <c r="D33" s="188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219"/>
      <c r="V33" s="125">
        <f>E31</f>
        <v>6300</v>
      </c>
      <c r="W33" s="126"/>
      <c r="X33" s="126"/>
      <c r="Y33" s="126"/>
      <c r="Z33" s="126"/>
      <c r="AA33" s="126"/>
      <c r="AB33" s="126"/>
      <c r="AC33" s="126"/>
      <c r="AD33" s="126"/>
      <c r="AE33" s="126"/>
      <c r="AF33" s="126"/>
      <c r="AG33" s="127"/>
      <c r="AH33" s="220"/>
      <c r="AI33" s="221"/>
      <c r="AJ33" s="221"/>
      <c r="AK33" s="221"/>
      <c r="AL33" s="221"/>
      <c r="AM33" s="132"/>
      <c r="AN33" s="132"/>
      <c r="AO33" s="132"/>
      <c r="AP33" s="132"/>
      <c r="AQ33" s="132"/>
      <c r="AR33" s="132"/>
      <c r="AS33" s="132"/>
      <c r="AT33" s="201"/>
      <c r="AU33" s="222"/>
    </row>
    <row r="34" spans="1:47" ht="15.75" thickBot="1">
      <c r="A34" s="179"/>
      <c r="B34" s="180"/>
      <c r="C34" s="180"/>
      <c r="D34" s="180"/>
      <c r="E34" s="117"/>
      <c r="F34" s="117"/>
      <c r="G34" s="117"/>
      <c r="H34" s="117"/>
      <c r="I34" s="117"/>
      <c r="J34" s="132"/>
      <c r="K34" s="132"/>
      <c r="L34" s="132"/>
      <c r="M34" s="132"/>
      <c r="N34" s="132"/>
      <c r="O34" s="132"/>
      <c r="P34" s="132"/>
      <c r="Q34" s="132"/>
      <c r="R34" s="132"/>
      <c r="S34" s="132"/>
      <c r="T34" s="132"/>
      <c r="U34" s="132"/>
      <c r="V34" s="140"/>
      <c r="W34" s="140"/>
      <c r="X34" s="140"/>
      <c r="Y34" s="140"/>
      <c r="Z34" s="218"/>
      <c r="AA34" s="218"/>
      <c r="AB34" s="218"/>
      <c r="AC34" s="218"/>
      <c r="AD34" s="218"/>
      <c r="AE34" s="218"/>
      <c r="AF34" s="218"/>
      <c r="AG34" s="218"/>
      <c r="AH34" s="132"/>
      <c r="AI34" s="132"/>
      <c r="AJ34" s="132"/>
      <c r="AK34" s="132"/>
      <c r="AL34" s="132"/>
      <c r="AM34" s="132"/>
      <c r="AN34" s="132"/>
      <c r="AO34" s="132"/>
      <c r="AP34" s="132"/>
      <c r="AQ34" s="132"/>
      <c r="AR34" s="132"/>
      <c r="AS34" s="132"/>
      <c r="AT34" s="216"/>
      <c r="AU34" s="217"/>
    </row>
    <row r="35" spans="1:47" ht="15.75" thickBot="1">
      <c r="A35" s="2"/>
      <c r="B35" s="167" t="s">
        <v>35</v>
      </c>
      <c r="C35" s="168"/>
      <c r="D35" s="168"/>
      <c r="E35" s="168"/>
      <c r="F35" s="168"/>
      <c r="G35" s="168"/>
      <c r="H35" s="168"/>
      <c r="I35" s="169"/>
      <c r="J35" s="179"/>
      <c r="K35" s="180"/>
      <c r="L35" s="180"/>
      <c r="M35" s="180"/>
      <c r="N35" s="180"/>
      <c r="O35" s="180"/>
      <c r="P35" s="117"/>
      <c r="Q35" s="117"/>
      <c r="R35" s="117"/>
      <c r="S35" s="117"/>
      <c r="T35" s="117"/>
      <c r="U35" s="117"/>
      <c r="V35" s="118"/>
      <c r="W35" s="118"/>
      <c r="X35" s="118"/>
      <c r="Y35" s="118"/>
      <c r="Z35" s="186"/>
      <c r="AA35" s="186"/>
      <c r="AB35" s="186"/>
      <c r="AC35" s="186"/>
      <c r="AD35" s="186"/>
      <c r="AE35" s="186"/>
      <c r="AF35" s="186"/>
      <c r="AG35" s="186"/>
      <c r="AH35" s="132"/>
      <c r="AI35" s="132"/>
      <c r="AJ35" s="132"/>
      <c r="AK35" s="132"/>
      <c r="AL35" s="132"/>
      <c r="AM35" s="117"/>
      <c r="AN35" s="117"/>
      <c r="AO35" s="117"/>
      <c r="AP35" s="117"/>
      <c r="AQ35" s="117"/>
      <c r="AR35" s="117"/>
      <c r="AS35" s="117"/>
      <c r="AT35" s="117"/>
      <c r="AU35" s="119"/>
    </row>
    <row r="36" spans="1:47" ht="15.75" thickBot="1">
      <c r="A36" s="2"/>
      <c r="B36" s="191">
        <f>Tabelle1!A83</f>
        <v>54000</v>
      </c>
      <c r="C36" s="192"/>
      <c r="D36" s="192"/>
      <c r="E36" s="192"/>
      <c r="F36" s="192"/>
      <c r="G36" s="192"/>
      <c r="H36" s="192"/>
      <c r="I36" s="193"/>
      <c r="J36" s="131" t="s">
        <v>10</v>
      </c>
      <c r="K36" s="132"/>
      <c r="L36" s="132"/>
      <c r="M36" s="132"/>
      <c r="N36" s="132"/>
      <c r="O36" s="156"/>
      <c r="P36" s="170" t="s">
        <v>36</v>
      </c>
      <c r="Q36" s="171"/>
      <c r="R36" s="171"/>
      <c r="S36" s="171"/>
      <c r="T36" s="171"/>
      <c r="U36" s="172"/>
      <c r="V36" s="125">
        <f>V27+V33</f>
        <v>41518</v>
      </c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7"/>
      <c r="AH36" s="143"/>
      <c r="AI36" s="133"/>
      <c r="AJ36" s="133"/>
      <c r="AK36" s="133"/>
      <c r="AL36" s="144"/>
      <c r="AM36" s="170" t="s">
        <v>37</v>
      </c>
      <c r="AN36" s="171"/>
      <c r="AO36" s="171"/>
      <c r="AP36" s="171"/>
      <c r="AQ36" s="171"/>
      <c r="AR36" s="171"/>
      <c r="AS36" s="172"/>
      <c r="AT36" s="214">
        <f>AT27+AT31+AT32</f>
        <v>38.699599999999997</v>
      </c>
      <c r="AU36" s="215"/>
    </row>
    <row r="37" spans="1:47" ht="15.75" thickBot="1">
      <c r="A37" s="3" t="s">
        <v>31</v>
      </c>
      <c r="B37" s="191">
        <f>B36-V36</f>
        <v>12482</v>
      </c>
      <c r="C37" s="192"/>
      <c r="D37" s="192"/>
      <c r="E37" s="192"/>
      <c r="F37" s="192"/>
      <c r="G37" s="192"/>
      <c r="H37" s="192"/>
      <c r="I37" s="193"/>
      <c r="J37" s="131" t="s">
        <v>10</v>
      </c>
      <c r="K37" s="132"/>
      <c r="L37" s="132"/>
      <c r="M37" s="132"/>
      <c r="N37" s="132"/>
      <c r="O37" s="132"/>
      <c r="P37" s="201"/>
      <c r="Q37" s="201"/>
      <c r="R37" s="201"/>
      <c r="S37" s="201"/>
      <c r="T37" s="201"/>
      <c r="U37" s="201"/>
      <c r="V37" s="201"/>
      <c r="W37" s="201"/>
      <c r="X37" s="201"/>
      <c r="Y37" s="201"/>
      <c r="Z37" s="140"/>
      <c r="AA37" s="140"/>
      <c r="AB37" s="140"/>
      <c r="AC37" s="140"/>
      <c r="AD37" s="140"/>
      <c r="AE37" s="140"/>
      <c r="AF37" s="140"/>
      <c r="AG37" s="140"/>
      <c r="AH37" s="188"/>
      <c r="AI37" s="188"/>
      <c r="AJ37" s="188"/>
      <c r="AK37" s="188"/>
      <c r="AL37" s="188"/>
      <c r="AM37" s="171"/>
      <c r="AN37" s="171"/>
      <c r="AO37" s="171"/>
      <c r="AP37" s="171"/>
      <c r="AQ37" s="171"/>
      <c r="AR37" s="171"/>
      <c r="AS37" s="171"/>
      <c r="AT37" s="212"/>
      <c r="AU37" s="213"/>
    </row>
    <row r="38" spans="1:47" ht="15.75" thickBot="1">
      <c r="A38" s="206"/>
      <c r="B38" s="188"/>
      <c r="C38" s="188"/>
      <c r="D38" s="188"/>
      <c r="E38" s="141"/>
      <c r="F38" s="141"/>
      <c r="G38" s="141"/>
      <c r="H38" s="141"/>
      <c r="I38" s="141"/>
      <c r="J38" s="132"/>
      <c r="K38" s="132"/>
      <c r="L38" s="132"/>
      <c r="M38" s="132"/>
      <c r="N38" s="132"/>
      <c r="O38" s="132"/>
      <c r="P38" s="188"/>
      <c r="Q38" s="188"/>
      <c r="R38" s="188"/>
      <c r="S38" s="188"/>
      <c r="T38" s="188"/>
      <c r="U38" s="188"/>
      <c r="V38" s="132"/>
      <c r="W38" s="132"/>
      <c r="X38" s="132"/>
      <c r="Y38" s="132"/>
      <c r="Z38" s="132"/>
      <c r="AA38" s="132"/>
      <c r="AB38" s="132"/>
      <c r="AC38" s="132"/>
      <c r="AD38" s="132"/>
      <c r="AE38" s="132"/>
      <c r="AF38" s="132"/>
      <c r="AG38" s="132"/>
      <c r="AH38" s="132"/>
      <c r="AI38" s="132"/>
      <c r="AJ38" s="132"/>
      <c r="AK38" s="132"/>
      <c r="AL38" s="156"/>
      <c r="AM38" s="170" t="s">
        <v>38</v>
      </c>
      <c r="AN38" s="171"/>
      <c r="AO38" s="171"/>
      <c r="AP38" s="171"/>
      <c r="AQ38" s="171"/>
      <c r="AR38" s="171"/>
      <c r="AS38" s="172"/>
      <c r="AT38" s="202">
        <f>((((AT36-51)*620/V36)+16)-15)/3.665*100</f>
        <v>22.273251260634385</v>
      </c>
      <c r="AU38" s="203"/>
    </row>
    <row r="39" spans="1:47" ht="15.75" thickBot="1">
      <c r="A39" s="206" t="s">
        <v>39</v>
      </c>
      <c r="B39" s="188"/>
      <c r="C39" s="188"/>
      <c r="D39" s="188"/>
      <c r="E39" s="164"/>
      <c r="F39" s="164"/>
      <c r="G39" s="164"/>
      <c r="H39" s="164"/>
      <c r="I39" s="164"/>
      <c r="J39" s="164"/>
      <c r="K39" s="164"/>
      <c r="L39" s="164"/>
      <c r="M39" s="164"/>
      <c r="N39" s="164"/>
      <c r="O39" s="164"/>
      <c r="P39" s="164"/>
      <c r="Q39" s="164"/>
      <c r="R39" s="164"/>
      <c r="S39" s="164"/>
      <c r="T39" s="164"/>
      <c r="U39" s="164"/>
      <c r="V39" s="207">
        <v>2985</v>
      </c>
      <c r="W39" s="208"/>
      <c r="X39" s="208"/>
      <c r="Y39" s="208"/>
      <c r="Z39" s="208"/>
      <c r="AA39" s="208"/>
      <c r="AB39" s="208"/>
      <c r="AC39" s="208"/>
      <c r="AD39" s="208"/>
      <c r="AE39" s="208"/>
      <c r="AF39" s="208"/>
      <c r="AG39" s="209"/>
      <c r="AH39" s="132"/>
      <c r="AI39" s="132"/>
      <c r="AJ39" s="132"/>
      <c r="AK39" s="132"/>
      <c r="AL39" s="132"/>
      <c r="AM39" s="201"/>
      <c r="AN39" s="201"/>
      <c r="AO39" s="201"/>
      <c r="AP39" s="201"/>
      <c r="AQ39" s="201"/>
      <c r="AR39" s="201"/>
      <c r="AS39" s="201"/>
      <c r="AT39" s="210">
        <v>-0.17624000000000001</v>
      </c>
      <c r="AU39" s="211"/>
    </row>
    <row r="40" spans="1:47" ht="15.75" thickBot="1">
      <c r="A40" s="179"/>
      <c r="B40" s="180"/>
      <c r="C40" s="180"/>
      <c r="D40" s="180"/>
      <c r="E40" s="165"/>
      <c r="F40" s="165"/>
      <c r="G40" s="165"/>
      <c r="H40" s="165"/>
      <c r="I40" s="165"/>
      <c r="J40" s="165"/>
      <c r="K40" s="165"/>
      <c r="L40" s="165"/>
      <c r="M40" s="165"/>
      <c r="N40" s="165"/>
      <c r="O40" s="165"/>
      <c r="P40" s="165"/>
      <c r="Q40" s="165"/>
      <c r="R40" s="165"/>
      <c r="S40" s="165"/>
      <c r="T40" s="165"/>
      <c r="U40" s="165"/>
      <c r="V40" s="163"/>
      <c r="W40" s="163"/>
      <c r="X40" s="163"/>
      <c r="Y40" s="163"/>
      <c r="Z40" s="205"/>
      <c r="AA40" s="205"/>
      <c r="AB40" s="205"/>
      <c r="AC40" s="205"/>
      <c r="AD40" s="205"/>
      <c r="AE40" s="205"/>
      <c r="AF40" s="205"/>
      <c r="AG40" s="205"/>
      <c r="AH40" s="132"/>
      <c r="AI40" s="132"/>
      <c r="AJ40" s="132"/>
      <c r="AK40" s="132"/>
      <c r="AL40" s="132"/>
      <c r="AM40" s="180"/>
      <c r="AN40" s="180"/>
      <c r="AO40" s="180"/>
      <c r="AP40" s="180"/>
      <c r="AQ40" s="180"/>
      <c r="AR40" s="180"/>
      <c r="AS40" s="180"/>
      <c r="AT40" s="132"/>
      <c r="AU40" s="156"/>
    </row>
    <row r="41" spans="1:47" ht="15.75" thickBot="1">
      <c r="A41" s="2"/>
      <c r="B41" s="167" t="s">
        <v>40</v>
      </c>
      <c r="C41" s="168"/>
      <c r="D41" s="168"/>
      <c r="E41" s="168"/>
      <c r="F41" s="168"/>
      <c r="G41" s="168"/>
      <c r="H41" s="168"/>
      <c r="I41" s="169"/>
      <c r="J41" s="179"/>
      <c r="K41" s="180"/>
      <c r="L41" s="180"/>
      <c r="M41" s="180"/>
      <c r="N41" s="180"/>
      <c r="O41" s="180"/>
      <c r="P41" s="117"/>
      <c r="Q41" s="117"/>
      <c r="R41" s="117"/>
      <c r="S41" s="117"/>
      <c r="T41" s="117"/>
      <c r="U41" s="117"/>
      <c r="V41" s="118"/>
      <c r="W41" s="118"/>
      <c r="X41" s="118"/>
      <c r="Y41" s="118"/>
      <c r="Z41" s="186"/>
      <c r="AA41" s="186"/>
      <c r="AB41" s="186"/>
      <c r="AC41" s="186"/>
      <c r="AD41" s="186"/>
      <c r="AE41" s="186"/>
      <c r="AF41" s="186"/>
      <c r="AG41" s="186"/>
      <c r="AH41" s="132"/>
      <c r="AI41" s="132"/>
      <c r="AJ41" s="132"/>
      <c r="AK41" s="132"/>
      <c r="AL41" s="132"/>
      <c r="AM41" s="132"/>
      <c r="AN41" s="132"/>
      <c r="AO41" s="132"/>
      <c r="AP41" s="132"/>
      <c r="AQ41" s="132"/>
      <c r="AR41" s="132"/>
      <c r="AS41" s="132"/>
      <c r="AT41" s="132"/>
      <c r="AU41" s="156"/>
    </row>
    <row r="42" spans="1:47" ht="15.75" thickBot="1">
      <c r="A42" s="2"/>
      <c r="B42" s="167">
        <f>Tabelle1!A85</f>
        <v>49050</v>
      </c>
      <c r="C42" s="168"/>
      <c r="D42" s="168"/>
      <c r="E42" s="168"/>
      <c r="F42" s="168"/>
      <c r="G42" s="168"/>
      <c r="H42" s="168"/>
      <c r="I42" s="169"/>
      <c r="J42" s="131" t="s">
        <v>10</v>
      </c>
      <c r="K42" s="132"/>
      <c r="L42" s="132"/>
      <c r="M42" s="132"/>
      <c r="N42" s="132"/>
      <c r="O42" s="156"/>
      <c r="P42" s="170" t="s">
        <v>41</v>
      </c>
      <c r="Q42" s="171"/>
      <c r="R42" s="171"/>
      <c r="S42" s="171"/>
      <c r="T42" s="171"/>
      <c r="U42" s="172"/>
      <c r="V42" s="125">
        <f>V36-V39</f>
        <v>38533</v>
      </c>
      <c r="W42" s="126"/>
      <c r="X42" s="126"/>
      <c r="Y42" s="126"/>
      <c r="Z42" s="126"/>
      <c r="AA42" s="126"/>
      <c r="AB42" s="126"/>
      <c r="AC42" s="126"/>
      <c r="AD42" s="126"/>
      <c r="AE42" s="126"/>
      <c r="AF42" s="126"/>
      <c r="AG42" s="127"/>
      <c r="AH42" s="143"/>
      <c r="AI42" s="133"/>
      <c r="AJ42" s="133"/>
      <c r="AK42" s="133"/>
      <c r="AL42" s="133"/>
      <c r="AM42" s="170" t="s">
        <v>92</v>
      </c>
      <c r="AN42" s="171"/>
      <c r="AO42" s="171"/>
      <c r="AP42" s="171"/>
      <c r="AQ42" s="171"/>
      <c r="AR42" s="171"/>
      <c r="AS42" s="172"/>
      <c r="AT42" s="202">
        <f>AT36-AT39</f>
        <v>38.875839999999997</v>
      </c>
      <c r="AU42" s="203"/>
    </row>
    <row r="43" spans="1:47" ht="15.75" thickBot="1">
      <c r="A43" s="3" t="s">
        <v>31</v>
      </c>
      <c r="B43" s="128">
        <f>B42-V42</f>
        <v>10517</v>
      </c>
      <c r="C43" s="129"/>
      <c r="D43" s="129"/>
      <c r="E43" s="129"/>
      <c r="F43" s="129"/>
      <c r="G43" s="129"/>
      <c r="H43" s="129"/>
      <c r="I43" s="130"/>
      <c r="J43" s="131" t="s">
        <v>10</v>
      </c>
      <c r="K43" s="132"/>
      <c r="L43" s="132"/>
      <c r="M43" s="132"/>
      <c r="N43" s="132"/>
      <c r="O43" s="132"/>
      <c r="P43" s="140"/>
      <c r="Q43" s="140"/>
      <c r="R43" s="140"/>
      <c r="S43" s="140"/>
      <c r="T43" s="140"/>
      <c r="U43" s="140"/>
      <c r="V43" s="204"/>
      <c r="W43" s="204"/>
      <c r="X43" s="204"/>
      <c r="Y43" s="204"/>
      <c r="Z43" s="201"/>
      <c r="AA43" s="201"/>
      <c r="AB43" s="201"/>
      <c r="AC43" s="201"/>
      <c r="AD43" s="201"/>
      <c r="AE43" s="201"/>
      <c r="AF43" s="201"/>
      <c r="AG43" s="201"/>
      <c r="AH43" s="133"/>
      <c r="AI43" s="133"/>
      <c r="AJ43" s="133"/>
      <c r="AK43" s="133"/>
      <c r="AL43" s="133"/>
      <c r="AM43" s="165"/>
      <c r="AN43" s="165"/>
      <c r="AO43" s="165"/>
      <c r="AP43" s="165"/>
      <c r="AQ43" s="165"/>
      <c r="AR43" s="165"/>
      <c r="AS43" s="165"/>
      <c r="AT43" s="132"/>
      <c r="AU43" s="156"/>
    </row>
    <row r="44" spans="1:47" ht="67.5" customHeight="1" thickBot="1">
      <c r="A44" s="185"/>
      <c r="B44" s="186"/>
      <c r="C44" s="186"/>
      <c r="D44" s="186"/>
      <c r="E44" s="159"/>
      <c r="F44" s="159"/>
      <c r="G44" s="159"/>
      <c r="H44" s="159"/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18"/>
      <c r="W44" s="118"/>
      <c r="X44" s="118"/>
      <c r="Y44" s="118"/>
      <c r="Z44" s="186"/>
      <c r="AA44" s="186"/>
      <c r="AB44" s="186"/>
      <c r="AC44" s="117"/>
      <c r="AD44" s="117"/>
      <c r="AE44" s="117"/>
      <c r="AF44" s="117"/>
      <c r="AG44" s="117"/>
      <c r="AH44" s="117"/>
      <c r="AI44" s="117"/>
      <c r="AJ44" s="117"/>
      <c r="AK44" s="117"/>
      <c r="AL44" s="117"/>
      <c r="AM44" s="186"/>
      <c r="AN44" s="186"/>
      <c r="AO44" s="186"/>
      <c r="AP44" s="186"/>
      <c r="AQ44" s="186"/>
      <c r="AR44" s="186"/>
      <c r="AS44" s="186"/>
      <c r="AT44" s="117"/>
      <c r="AU44" s="119"/>
    </row>
    <row r="45" spans="1:47" ht="15.75" thickBot="1">
      <c r="A45" s="154"/>
      <c r="B45" s="154"/>
      <c r="C45" s="154"/>
      <c r="D45" s="154"/>
      <c r="E45" s="154"/>
      <c r="F45" s="154"/>
      <c r="G45" s="154"/>
      <c r="H45" s="154"/>
      <c r="I45" s="154"/>
      <c r="J45" s="154"/>
      <c r="K45" s="154"/>
      <c r="L45" s="154"/>
      <c r="M45" s="154"/>
      <c r="N45" s="154"/>
      <c r="O45" s="154"/>
      <c r="P45" s="154"/>
      <c r="Q45" s="154"/>
      <c r="R45" s="154"/>
      <c r="S45" s="154"/>
      <c r="T45" s="154"/>
      <c r="U45" s="154"/>
      <c r="V45" s="154"/>
      <c r="W45" s="154"/>
      <c r="X45" s="154"/>
      <c r="Y45" s="154"/>
      <c r="Z45" s="154"/>
      <c r="AA45" s="154"/>
      <c r="AB45" s="154"/>
      <c r="AC45" s="154"/>
      <c r="AD45" s="154"/>
      <c r="AE45" s="154"/>
      <c r="AF45" s="154"/>
      <c r="AG45" s="154"/>
      <c r="AH45" s="154"/>
      <c r="AI45" s="154"/>
      <c r="AJ45" s="154"/>
      <c r="AK45" s="154"/>
      <c r="AL45" s="154"/>
      <c r="AM45" s="154"/>
      <c r="AN45" s="154"/>
      <c r="AO45" s="154"/>
      <c r="AP45" s="154"/>
      <c r="AQ45" s="154"/>
      <c r="AR45" s="154"/>
      <c r="AS45" s="154"/>
      <c r="AT45" s="154"/>
      <c r="AU45" s="154"/>
    </row>
    <row r="46" spans="1:47" hidden="1">
      <c r="A46" s="200"/>
      <c r="B46" s="201"/>
      <c r="C46" s="201"/>
      <c r="D46" s="201"/>
      <c r="E46" s="201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201"/>
      <c r="Q46" s="201"/>
      <c r="R46" s="201"/>
      <c r="S46" s="201"/>
      <c r="T46" s="201"/>
      <c r="U46" s="201"/>
      <c r="V46" s="201"/>
      <c r="W46" s="201"/>
      <c r="X46" s="201"/>
      <c r="Y46" s="201"/>
      <c r="Z46" s="201"/>
      <c r="AA46" s="201"/>
      <c r="AB46" s="201"/>
      <c r="AC46" s="140"/>
      <c r="AD46" s="140"/>
      <c r="AE46" s="140"/>
      <c r="AF46" s="140"/>
      <c r="AG46" s="140"/>
      <c r="AH46" s="140"/>
      <c r="AI46" s="140"/>
      <c r="AJ46" s="140"/>
      <c r="AK46" s="140"/>
      <c r="AL46" s="140"/>
      <c r="AM46" s="139"/>
      <c r="AN46" s="139"/>
      <c r="AO46" s="139"/>
      <c r="AP46" s="139"/>
      <c r="AQ46" s="139"/>
      <c r="AR46" s="139"/>
      <c r="AS46" s="139"/>
      <c r="AT46" s="140"/>
      <c r="AU46" s="189"/>
    </row>
    <row r="47" spans="1:47" hidden="1">
      <c r="A47" s="179"/>
      <c r="B47" s="180"/>
      <c r="C47" s="180"/>
      <c r="D47" s="180"/>
      <c r="E47" s="180"/>
      <c r="F47" s="132"/>
      <c r="G47" s="132"/>
      <c r="H47" s="132"/>
      <c r="I47" s="132"/>
      <c r="J47" s="132"/>
      <c r="K47" s="132"/>
      <c r="L47" s="132"/>
      <c r="M47" s="132"/>
      <c r="N47" s="132"/>
      <c r="O47" s="132"/>
      <c r="P47" s="188" t="s">
        <v>42</v>
      </c>
      <c r="Q47" s="188"/>
      <c r="R47" s="188"/>
      <c r="S47" s="188"/>
      <c r="T47" s="188"/>
      <c r="U47" s="188"/>
      <c r="V47" s="188"/>
      <c r="W47" s="188"/>
      <c r="X47" s="188"/>
      <c r="Y47" s="188"/>
      <c r="Z47" s="188"/>
      <c r="AA47" s="188"/>
      <c r="AB47" s="188"/>
      <c r="AC47" s="132"/>
      <c r="AD47" s="132"/>
      <c r="AE47" s="132"/>
      <c r="AF47" s="132"/>
      <c r="AG47" s="132"/>
      <c r="AH47" s="132"/>
      <c r="AI47" s="132"/>
      <c r="AJ47" s="132"/>
      <c r="AK47" s="132"/>
      <c r="AL47" s="132"/>
      <c r="AM47" s="133"/>
      <c r="AN47" s="133"/>
      <c r="AO47" s="133"/>
      <c r="AP47" s="133"/>
      <c r="AQ47" s="133"/>
      <c r="AR47" s="133"/>
      <c r="AS47" s="133"/>
      <c r="AT47" s="132"/>
      <c r="AU47" s="156"/>
    </row>
    <row r="48" spans="1:47" ht="15.75" hidden="1" thickBot="1">
      <c r="A48" s="131"/>
      <c r="B48" s="132"/>
      <c r="C48" s="132"/>
      <c r="D48" s="132"/>
      <c r="E48" s="132"/>
      <c r="F48" s="132"/>
      <c r="G48" s="132"/>
      <c r="H48" s="132"/>
      <c r="I48" s="132"/>
      <c r="J48" s="132"/>
      <c r="K48" s="132"/>
      <c r="L48" s="132"/>
      <c r="M48" s="132"/>
      <c r="N48" s="132"/>
      <c r="O48" s="132"/>
      <c r="P48" s="132"/>
      <c r="Q48" s="132"/>
      <c r="R48" s="132"/>
      <c r="S48" s="132"/>
      <c r="T48" s="132"/>
      <c r="U48" s="132"/>
      <c r="V48" s="132"/>
      <c r="W48" s="132"/>
      <c r="X48" s="132"/>
      <c r="Y48" s="132"/>
      <c r="Z48" s="132"/>
      <c r="AA48" s="132"/>
      <c r="AB48" s="132"/>
      <c r="AC48" s="132"/>
      <c r="AD48" s="132"/>
      <c r="AE48" s="132"/>
      <c r="AF48" s="132"/>
      <c r="AG48" s="132"/>
      <c r="AH48" s="132"/>
      <c r="AI48" s="132"/>
      <c r="AJ48" s="132"/>
      <c r="AK48" s="132"/>
      <c r="AL48" s="132"/>
      <c r="AM48" s="132"/>
      <c r="AN48" s="132"/>
      <c r="AO48" s="132"/>
      <c r="AP48" s="132"/>
      <c r="AQ48" s="132"/>
      <c r="AR48" s="132"/>
      <c r="AS48" s="132"/>
      <c r="AT48" s="132"/>
      <c r="AU48" s="156"/>
    </row>
    <row r="49" spans="1:47" ht="15.75" hidden="1" thickBot="1">
      <c r="A49" s="162" t="s">
        <v>43</v>
      </c>
      <c r="B49" s="163"/>
      <c r="C49" s="163"/>
      <c r="D49" s="163"/>
      <c r="E49" s="163"/>
      <c r="F49" s="163"/>
      <c r="G49" s="163"/>
      <c r="H49" s="163"/>
      <c r="I49" s="163"/>
      <c r="J49" s="163"/>
      <c r="K49" s="163"/>
      <c r="L49" s="190"/>
      <c r="M49" s="128">
        <f>MIN(B28,B37,B43)</f>
        <v>10517</v>
      </c>
      <c r="N49" s="129"/>
      <c r="O49" s="129"/>
      <c r="P49" s="129"/>
      <c r="Q49" s="129"/>
      <c r="R49" s="129"/>
      <c r="S49" s="130"/>
      <c r="T49" s="162" t="s">
        <v>44</v>
      </c>
      <c r="U49" s="163"/>
      <c r="V49" s="163"/>
      <c r="W49" s="163"/>
      <c r="X49" s="163"/>
      <c r="Y49" s="190"/>
      <c r="Z49" s="191"/>
      <c r="AA49" s="192"/>
      <c r="AB49" s="192"/>
      <c r="AC49" s="193"/>
      <c r="AD49" s="194" t="s">
        <v>45</v>
      </c>
      <c r="AE49" s="195"/>
      <c r="AF49" s="195"/>
      <c r="AG49" s="195"/>
      <c r="AH49" s="195"/>
      <c r="AI49" s="195"/>
      <c r="AJ49" s="195"/>
      <c r="AK49" s="195"/>
      <c r="AL49" s="195"/>
      <c r="AM49" s="195"/>
      <c r="AN49" s="195"/>
      <c r="AO49" s="195"/>
      <c r="AP49" s="196"/>
      <c r="AQ49" s="197" t="s">
        <v>10</v>
      </c>
      <c r="AR49" s="198"/>
      <c r="AS49" s="198"/>
      <c r="AT49" s="198"/>
      <c r="AU49" s="199"/>
    </row>
    <row r="50" spans="1:47" hidden="1">
      <c r="A50" s="131"/>
      <c r="B50" s="132"/>
      <c r="C50" s="132"/>
      <c r="D50" s="132"/>
      <c r="E50" s="132"/>
      <c r="F50" s="132"/>
      <c r="G50" s="188" t="s">
        <v>46</v>
      </c>
      <c r="H50" s="188"/>
      <c r="I50" s="188"/>
      <c r="J50" s="188"/>
      <c r="K50" s="188"/>
      <c r="L50" s="188"/>
      <c r="M50" s="188"/>
      <c r="N50" s="188"/>
      <c r="O50" s="188"/>
      <c r="P50" s="188"/>
      <c r="Q50" s="188"/>
      <c r="R50" s="188"/>
      <c r="S50" s="188"/>
      <c r="T50" s="132"/>
      <c r="U50" s="132"/>
      <c r="V50" s="132"/>
      <c r="W50" s="132"/>
      <c r="X50" s="132"/>
      <c r="Y50" s="132"/>
      <c r="Z50" s="132"/>
      <c r="AA50" s="132"/>
      <c r="AB50" s="132"/>
      <c r="AC50" s="132"/>
      <c r="AD50" s="188" t="s">
        <v>25</v>
      </c>
      <c r="AE50" s="188"/>
      <c r="AF50" s="188"/>
      <c r="AG50" s="188"/>
      <c r="AH50" s="188"/>
      <c r="AI50" s="188"/>
      <c r="AJ50" s="188"/>
      <c r="AK50" s="188"/>
      <c r="AL50" s="188"/>
      <c r="AM50" s="188"/>
      <c r="AN50" s="188"/>
      <c r="AO50" s="188"/>
      <c r="AP50" s="188"/>
      <c r="AQ50" s="140"/>
      <c r="AR50" s="140"/>
      <c r="AS50" s="140"/>
      <c r="AT50" s="140"/>
      <c r="AU50" s="189"/>
    </row>
    <row r="51" spans="1:47" ht="15.75" hidden="1" thickBot="1">
      <c r="A51" s="143"/>
      <c r="B51" s="133"/>
      <c r="C51" s="133"/>
      <c r="D51" s="133"/>
      <c r="E51" s="133"/>
      <c r="F51" s="133"/>
      <c r="G51" s="184" t="s">
        <v>13</v>
      </c>
      <c r="H51" s="184"/>
      <c r="I51" s="184"/>
      <c r="J51" s="184"/>
      <c r="K51" s="184"/>
      <c r="L51" s="184"/>
      <c r="M51" s="184" t="s">
        <v>47</v>
      </c>
      <c r="N51" s="184"/>
      <c r="O51" s="184"/>
      <c r="P51" s="184"/>
      <c r="Q51" s="184"/>
      <c r="R51" s="184"/>
      <c r="S51" s="184"/>
      <c r="T51" s="132"/>
      <c r="U51" s="132"/>
      <c r="V51" s="132"/>
      <c r="W51" s="132"/>
      <c r="X51" s="132"/>
      <c r="Y51" s="132"/>
      <c r="Z51" s="132"/>
      <c r="AA51" s="132"/>
      <c r="AB51" s="132"/>
      <c r="AC51" s="132"/>
      <c r="AD51" s="184" t="s">
        <v>48</v>
      </c>
      <c r="AE51" s="184"/>
      <c r="AF51" s="184"/>
      <c r="AG51" s="184"/>
      <c r="AH51" s="184"/>
      <c r="AI51" s="184"/>
      <c r="AJ51" s="184" t="s">
        <v>47</v>
      </c>
      <c r="AK51" s="184"/>
      <c r="AL51" s="184"/>
      <c r="AM51" s="184"/>
      <c r="AN51" s="184"/>
      <c r="AO51" s="184"/>
      <c r="AP51" s="184"/>
      <c r="AQ51" s="132"/>
      <c r="AR51" s="132"/>
      <c r="AS51" s="132"/>
      <c r="AT51" s="132"/>
      <c r="AU51" s="156"/>
    </row>
    <row r="52" spans="1:47" ht="15.75" hidden="1" thickBot="1">
      <c r="A52" s="185" t="s">
        <v>17</v>
      </c>
      <c r="B52" s="186"/>
      <c r="C52" s="186"/>
      <c r="D52" s="186"/>
      <c r="E52" s="186"/>
      <c r="F52" s="187"/>
      <c r="G52" s="122"/>
      <c r="H52" s="123"/>
      <c r="I52" s="123"/>
      <c r="J52" s="123"/>
      <c r="K52" s="123"/>
      <c r="L52" s="124"/>
      <c r="M52" s="122"/>
      <c r="N52" s="123"/>
      <c r="O52" s="123"/>
      <c r="P52" s="123"/>
      <c r="Q52" s="123"/>
      <c r="R52" s="123"/>
      <c r="S52" s="124"/>
      <c r="T52" s="131"/>
      <c r="U52" s="132"/>
      <c r="V52" s="132"/>
      <c r="W52" s="132"/>
      <c r="X52" s="132"/>
      <c r="Y52" s="132"/>
      <c r="Z52" s="132"/>
      <c r="AA52" s="132"/>
      <c r="AB52" s="132"/>
      <c r="AC52" s="156"/>
      <c r="AD52" s="176"/>
      <c r="AE52" s="177"/>
      <c r="AF52" s="177"/>
      <c r="AG52" s="177"/>
      <c r="AH52" s="177"/>
      <c r="AI52" s="178"/>
      <c r="AJ52" s="176"/>
      <c r="AK52" s="177"/>
      <c r="AL52" s="177"/>
      <c r="AM52" s="177"/>
      <c r="AN52" s="177"/>
      <c r="AO52" s="177"/>
      <c r="AP52" s="178"/>
      <c r="AQ52" s="179"/>
      <c r="AR52" s="180"/>
      <c r="AS52" s="180"/>
      <c r="AT52" s="132"/>
      <c r="AU52" s="156"/>
    </row>
    <row r="53" spans="1:47" ht="15.75" hidden="1" thickBot="1">
      <c r="A53" s="167" t="s">
        <v>19</v>
      </c>
      <c r="B53" s="168"/>
      <c r="C53" s="168"/>
      <c r="D53" s="168"/>
      <c r="E53" s="168"/>
      <c r="F53" s="169"/>
      <c r="G53" s="122"/>
      <c r="H53" s="123"/>
      <c r="I53" s="123"/>
      <c r="J53" s="123"/>
      <c r="K53" s="123"/>
      <c r="L53" s="124"/>
      <c r="M53" s="122"/>
      <c r="N53" s="123"/>
      <c r="O53" s="123"/>
      <c r="P53" s="123"/>
      <c r="Q53" s="123"/>
      <c r="R53" s="123"/>
      <c r="S53" s="124"/>
      <c r="T53" s="181"/>
      <c r="U53" s="182"/>
      <c r="V53" s="182"/>
      <c r="W53" s="182"/>
      <c r="X53" s="182"/>
      <c r="Y53" s="182"/>
      <c r="Z53" s="182"/>
      <c r="AA53" s="182"/>
      <c r="AB53" s="182"/>
      <c r="AC53" s="183"/>
      <c r="AD53" s="176"/>
      <c r="AE53" s="177"/>
      <c r="AF53" s="177"/>
      <c r="AG53" s="177"/>
      <c r="AH53" s="177"/>
      <c r="AI53" s="178"/>
      <c r="AJ53" s="176"/>
      <c r="AK53" s="177"/>
      <c r="AL53" s="177"/>
      <c r="AM53" s="177"/>
      <c r="AN53" s="177"/>
      <c r="AO53" s="177"/>
      <c r="AP53" s="178"/>
      <c r="AQ53" s="179"/>
      <c r="AR53" s="180"/>
      <c r="AS53" s="180"/>
      <c r="AT53" s="132"/>
      <c r="AU53" s="156"/>
    </row>
    <row r="54" spans="1:47" ht="15.75" hidden="1" thickBot="1">
      <c r="A54" s="167" t="s">
        <v>21</v>
      </c>
      <c r="B54" s="168"/>
      <c r="C54" s="168"/>
      <c r="D54" s="168"/>
      <c r="E54" s="168"/>
      <c r="F54" s="169"/>
      <c r="G54" s="122"/>
      <c r="H54" s="123"/>
      <c r="I54" s="123"/>
      <c r="J54" s="123"/>
      <c r="K54" s="123"/>
      <c r="L54" s="124"/>
      <c r="M54" s="170" t="s">
        <v>22</v>
      </c>
      <c r="N54" s="171"/>
      <c r="O54" s="171"/>
      <c r="P54" s="171"/>
      <c r="Q54" s="171"/>
      <c r="R54" s="171"/>
      <c r="S54" s="172"/>
      <c r="T54" s="173"/>
      <c r="U54" s="174"/>
      <c r="V54" s="174"/>
      <c r="W54" s="174"/>
      <c r="X54" s="174"/>
      <c r="Y54" s="174"/>
      <c r="Z54" s="174"/>
      <c r="AA54" s="174"/>
      <c r="AB54" s="174"/>
      <c r="AC54" s="175"/>
      <c r="AD54" s="176"/>
      <c r="AE54" s="177"/>
      <c r="AF54" s="177"/>
      <c r="AG54" s="177"/>
      <c r="AH54" s="177"/>
      <c r="AI54" s="178"/>
      <c r="AJ54" s="176"/>
      <c r="AK54" s="177"/>
      <c r="AL54" s="177"/>
      <c r="AM54" s="177"/>
      <c r="AN54" s="177"/>
      <c r="AO54" s="177"/>
      <c r="AP54" s="178"/>
      <c r="AQ54" s="179"/>
      <c r="AR54" s="180"/>
      <c r="AS54" s="180"/>
      <c r="AT54" s="132"/>
      <c r="AU54" s="156"/>
    </row>
    <row r="55" spans="1:47" ht="15.75" hidden="1" thickBot="1">
      <c r="A55" s="160" t="s">
        <v>49</v>
      </c>
      <c r="B55" s="141"/>
      <c r="C55" s="141"/>
      <c r="D55" s="141"/>
      <c r="E55" s="141"/>
      <c r="F55" s="161"/>
      <c r="G55" s="122"/>
      <c r="H55" s="123"/>
      <c r="I55" s="123"/>
      <c r="J55" s="123"/>
      <c r="K55" s="123"/>
      <c r="L55" s="124"/>
      <c r="M55" s="125" t="s">
        <v>50</v>
      </c>
      <c r="N55" s="126"/>
      <c r="O55" s="126"/>
      <c r="P55" s="126"/>
      <c r="Q55" s="126"/>
      <c r="R55" s="126"/>
      <c r="S55" s="127"/>
      <c r="T55" s="162"/>
      <c r="U55" s="163"/>
      <c r="V55" s="164"/>
      <c r="W55" s="164"/>
      <c r="X55" s="164"/>
      <c r="Y55" s="164"/>
      <c r="Z55" s="165" t="s">
        <v>51</v>
      </c>
      <c r="AA55" s="165"/>
      <c r="AB55" s="165"/>
      <c r="AC55" s="165"/>
      <c r="AD55" s="165"/>
      <c r="AE55" s="165"/>
      <c r="AF55" s="165"/>
      <c r="AG55" s="165"/>
      <c r="AH55" s="165"/>
      <c r="AI55" s="166"/>
      <c r="AJ55" s="125" t="s">
        <v>10</v>
      </c>
      <c r="AK55" s="126"/>
      <c r="AL55" s="126"/>
      <c r="AM55" s="126"/>
      <c r="AN55" s="126"/>
      <c r="AO55" s="126"/>
      <c r="AP55" s="127"/>
      <c r="AQ55" s="131"/>
      <c r="AR55" s="132"/>
      <c r="AS55" s="132"/>
      <c r="AT55" s="132"/>
      <c r="AU55" s="156"/>
    </row>
    <row r="56" spans="1:47" ht="15.75" hidden="1" thickBot="1">
      <c r="A56" s="157"/>
      <c r="B56" s="134"/>
      <c r="C56" s="134"/>
      <c r="D56" s="134"/>
      <c r="E56" s="134"/>
      <c r="F56" s="117"/>
      <c r="G56" s="117"/>
      <c r="H56" s="117"/>
      <c r="I56" s="117"/>
      <c r="J56" s="117"/>
      <c r="K56" s="117"/>
      <c r="L56" s="158"/>
      <c r="M56" s="158"/>
      <c r="N56" s="158"/>
      <c r="O56" s="158"/>
      <c r="P56" s="159"/>
      <c r="Q56" s="159"/>
      <c r="R56" s="159"/>
      <c r="S56" s="159"/>
      <c r="T56" s="159"/>
      <c r="U56" s="159"/>
      <c r="V56" s="159"/>
      <c r="W56" s="159"/>
      <c r="X56" s="159"/>
      <c r="Y56" s="159"/>
      <c r="Z56" s="117"/>
      <c r="AA56" s="117"/>
      <c r="AB56" s="117"/>
      <c r="AC56" s="134"/>
      <c r="AD56" s="134"/>
      <c r="AE56" s="134"/>
      <c r="AF56" s="134"/>
      <c r="AG56" s="134"/>
      <c r="AH56" s="134"/>
      <c r="AI56" s="134"/>
      <c r="AJ56" s="134"/>
      <c r="AK56" s="134"/>
      <c r="AL56" s="134"/>
      <c r="AM56" s="117"/>
      <c r="AN56" s="117"/>
      <c r="AO56" s="117"/>
      <c r="AP56" s="117"/>
      <c r="AQ56" s="117"/>
      <c r="AR56" s="117"/>
      <c r="AS56" s="117"/>
      <c r="AT56" s="117"/>
      <c r="AU56" s="119"/>
    </row>
    <row r="57" spans="1:47" ht="15.75" hidden="1" thickBot="1">
      <c r="A57" s="154"/>
      <c r="B57" s="154"/>
      <c r="C57" s="154"/>
      <c r="D57" s="154"/>
      <c r="E57" s="154"/>
      <c r="F57" s="154"/>
      <c r="G57" s="154"/>
      <c r="H57" s="154"/>
      <c r="I57" s="154"/>
      <c r="J57" s="154"/>
      <c r="K57" s="154"/>
      <c r="L57" s="154"/>
      <c r="M57" s="154"/>
      <c r="N57" s="154"/>
      <c r="O57" s="154"/>
      <c r="P57" s="154"/>
      <c r="Q57" s="154"/>
      <c r="R57" s="154"/>
      <c r="S57" s="154"/>
      <c r="T57" s="154"/>
      <c r="U57" s="154"/>
      <c r="V57" s="154"/>
      <c r="W57" s="154"/>
      <c r="X57" s="154"/>
      <c r="Y57" s="154"/>
      <c r="Z57" s="154"/>
      <c r="AA57" s="154"/>
      <c r="AB57" s="154"/>
      <c r="AC57" s="154"/>
      <c r="AD57" s="154"/>
      <c r="AE57" s="154"/>
      <c r="AF57" s="154"/>
      <c r="AG57" s="154"/>
      <c r="AH57" s="154"/>
      <c r="AI57" s="154"/>
      <c r="AJ57" s="154"/>
      <c r="AK57" s="154"/>
      <c r="AL57" s="154"/>
      <c r="AM57" s="154"/>
      <c r="AN57" s="154"/>
      <c r="AO57" s="154"/>
      <c r="AP57" s="154"/>
      <c r="AQ57" s="154"/>
      <c r="AR57" s="154"/>
      <c r="AS57" s="154"/>
      <c r="AT57" s="154"/>
      <c r="AU57" s="154"/>
    </row>
    <row r="58" spans="1:47" hidden="1">
      <c r="A58" s="155"/>
      <c r="B58" s="139"/>
      <c r="C58" s="139"/>
      <c r="D58" s="139"/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  <c r="AC58" s="139"/>
      <c r="AD58" s="139"/>
      <c r="AE58" s="139"/>
      <c r="AF58" s="139"/>
      <c r="AG58" s="139"/>
      <c r="AH58" s="139"/>
      <c r="AI58" s="139"/>
      <c r="AJ58" s="139"/>
      <c r="AK58" s="139"/>
      <c r="AL58" s="139"/>
      <c r="AM58" s="139"/>
      <c r="AN58" s="139"/>
      <c r="AO58" s="139"/>
      <c r="AP58" s="139"/>
      <c r="AQ58" s="139"/>
      <c r="AR58" s="139"/>
      <c r="AS58" s="139"/>
      <c r="AT58" s="139"/>
      <c r="AU58" s="142"/>
    </row>
    <row r="59" spans="1:47" hidden="1">
      <c r="A59" s="143"/>
      <c r="B59" s="133"/>
      <c r="C59" s="133"/>
      <c r="D59" s="133"/>
      <c r="E59" s="133"/>
      <c r="F59" s="133"/>
      <c r="G59" s="133"/>
      <c r="H59" s="133"/>
      <c r="I59" s="133"/>
      <c r="J59" s="133"/>
      <c r="K59" s="133"/>
      <c r="L59" s="133"/>
      <c r="M59" s="133"/>
      <c r="N59" s="133"/>
      <c r="O59" s="133"/>
      <c r="P59" s="133"/>
      <c r="Q59" s="133"/>
      <c r="R59" s="133"/>
      <c r="S59" s="133"/>
      <c r="T59" s="133"/>
      <c r="U59" s="133"/>
      <c r="V59" s="133"/>
      <c r="W59" s="133"/>
      <c r="X59" s="133"/>
      <c r="Y59" s="133"/>
      <c r="Z59" s="133"/>
      <c r="AA59" s="133"/>
      <c r="AB59" s="133"/>
      <c r="AC59" s="133"/>
      <c r="AD59" s="133"/>
      <c r="AE59" s="133"/>
      <c r="AF59" s="133"/>
      <c r="AG59" s="133"/>
      <c r="AH59" s="133"/>
      <c r="AI59" s="133"/>
      <c r="AJ59" s="133"/>
      <c r="AK59" s="133"/>
      <c r="AL59" s="133"/>
      <c r="AM59" s="133"/>
      <c r="AN59" s="133"/>
      <c r="AO59" s="133"/>
      <c r="AP59" s="133"/>
      <c r="AQ59" s="133"/>
      <c r="AR59" s="133"/>
      <c r="AS59" s="133"/>
      <c r="AT59" s="133"/>
      <c r="AU59" s="144"/>
    </row>
    <row r="60" spans="1:47" hidden="1">
      <c r="A60" s="143"/>
      <c r="B60" s="133"/>
      <c r="C60" s="133"/>
      <c r="D60" s="133"/>
      <c r="E60" s="133"/>
      <c r="F60" s="133"/>
      <c r="G60" s="133"/>
      <c r="H60" s="133"/>
      <c r="I60" s="133"/>
      <c r="J60" s="133"/>
      <c r="K60" s="133"/>
      <c r="L60" s="133"/>
      <c r="M60" s="133"/>
      <c r="N60" s="133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3"/>
      <c r="AU60" s="144"/>
    </row>
    <row r="61" spans="1:47" hidden="1">
      <c r="A61" s="143"/>
      <c r="B61" s="133"/>
      <c r="C61" s="133"/>
      <c r="D61" s="133"/>
      <c r="E61" s="133"/>
      <c r="F61" s="133"/>
      <c r="G61" s="133"/>
      <c r="H61" s="133"/>
      <c r="I61" s="133"/>
      <c r="J61" s="133"/>
      <c r="K61" s="133"/>
      <c r="L61" s="133"/>
      <c r="M61" s="133"/>
      <c r="N61" s="133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3"/>
      <c r="AU61" s="144"/>
    </row>
    <row r="62" spans="1:47" ht="15.75" hidden="1" thickBot="1">
      <c r="A62" s="143"/>
      <c r="B62" s="133"/>
      <c r="C62" s="133"/>
      <c r="D62" s="133"/>
      <c r="E62" s="133"/>
      <c r="F62" s="133"/>
      <c r="G62" s="133"/>
      <c r="H62" s="133"/>
      <c r="I62" s="133"/>
      <c r="J62" s="133"/>
      <c r="K62" s="133"/>
      <c r="L62" s="133"/>
      <c r="M62" s="133"/>
      <c r="N62" s="133"/>
      <c r="O62" s="133"/>
      <c r="P62" s="133"/>
      <c r="Q62" s="133"/>
      <c r="R62" s="133"/>
      <c r="S62" s="133"/>
      <c r="T62" s="133"/>
      <c r="U62" s="133"/>
      <c r="V62" s="133"/>
      <c r="W62" s="133"/>
      <c r="X62" s="133"/>
      <c r="Y62" s="133"/>
      <c r="Z62" s="133"/>
      <c r="AA62" s="133"/>
      <c r="AB62" s="133"/>
      <c r="AC62" s="133"/>
      <c r="AD62" s="133"/>
      <c r="AE62" s="133"/>
      <c r="AF62" s="133"/>
      <c r="AG62" s="133"/>
      <c r="AH62" s="133"/>
      <c r="AI62" s="133"/>
      <c r="AJ62" s="133"/>
      <c r="AK62" s="133"/>
      <c r="AL62" s="133"/>
      <c r="AM62" s="133"/>
      <c r="AN62" s="133"/>
      <c r="AO62" s="133"/>
      <c r="AP62" s="133"/>
      <c r="AQ62" s="133"/>
      <c r="AR62" s="133"/>
      <c r="AS62" s="133"/>
      <c r="AT62" s="133"/>
      <c r="AU62" s="144"/>
    </row>
    <row r="63" spans="1:47" ht="15.75" hidden="1" thickBot="1">
      <c r="A63" s="143" t="s">
        <v>52</v>
      </c>
      <c r="B63" s="144"/>
      <c r="C63" s="145" t="s">
        <v>53</v>
      </c>
      <c r="D63" s="146"/>
      <c r="E63" s="146"/>
      <c r="F63" s="147"/>
      <c r="G63" s="148"/>
      <c r="H63" s="149"/>
      <c r="I63" s="149"/>
      <c r="J63" s="149"/>
      <c r="K63" s="149"/>
      <c r="L63" s="149"/>
      <c r="M63" s="150"/>
      <c r="N63" s="145" t="s">
        <v>46</v>
      </c>
      <c r="O63" s="146"/>
      <c r="P63" s="147"/>
      <c r="Q63" s="148" t="s">
        <v>18</v>
      </c>
      <c r="R63" s="149"/>
      <c r="S63" s="149"/>
      <c r="T63" s="150"/>
      <c r="U63" s="151" t="s">
        <v>23</v>
      </c>
      <c r="V63" s="152"/>
      <c r="W63" s="151" t="s">
        <v>54</v>
      </c>
      <c r="X63" s="153"/>
      <c r="Y63" s="152"/>
      <c r="Z63" s="145" t="s">
        <v>25</v>
      </c>
      <c r="AA63" s="146"/>
      <c r="AB63" s="147"/>
      <c r="AC63" s="148" t="s">
        <v>55</v>
      </c>
      <c r="AD63" s="150"/>
      <c r="AE63" s="136" t="s">
        <v>56</v>
      </c>
      <c r="AF63" s="137"/>
      <c r="AG63" s="137"/>
      <c r="AH63" s="138"/>
      <c r="AI63" s="136" t="s">
        <v>10</v>
      </c>
      <c r="AJ63" s="137"/>
      <c r="AK63" s="137"/>
      <c r="AL63" s="137"/>
      <c r="AM63" s="137"/>
      <c r="AN63" s="138"/>
      <c r="AO63" s="4" t="s">
        <v>55</v>
      </c>
      <c r="AP63" s="136" t="s">
        <v>56</v>
      </c>
      <c r="AQ63" s="137"/>
      <c r="AR63" s="137"/>
      <c r="AS63" s="138"/>
      <c r="AT63" s="125" t="s">
        <v>10</v>
      </c>
      <c r="AU63" s="127"/>
    </row>
    <row r="64" spans="1:47" ht="15.75" hidden="1" thickBot="1">
      <c r="A64" s="143"/>
      <c r="B64" s="144"/>
      <c r="C64" s="145" t="s">
        <v>57</v>
      </c>
      <c r="D64" s="146"/>
      <c r="E64" s="146"/>
      <c r="F64" s="147"/>
      <c r="G64" s="148"/>
      <c r="H64" s="149"/>
      <c r="I64" s="149"/>
      <c r="J64" s="149"/>
      <c r="K64" s="149"/>
      <c r="L64" s="149"/>
      <c r="M64" s="150"/>
      <c r="N64" s="145" t="s">
        <v>46</v>
      </c>
      <c r="O64" s="146"/>
      <c r="P64" s="147"/>
      <c r="Q64" s="148" t="s">
        <v>18</v>
      </c>
      <c r="R64" s="149"/>
      <c r="S64" s="149"/>
      <c r="T64" s="150"/>
      <c r="U64" s="151" t="s">
        <v>23</v>
      </c>
      <c r="V64" s="152"/>
      <c r="W64" s="151" t="s">
        <v>54</v>
      </c>
      <c r="X64" s="153"/>
      <c r="Y64" s="152"/>
      <c r="Z64" s="145" t="s">
        <v>25</v>
      </c>
      <c r="AA64" s="146"/>
      <c r="AB64" s="147"/>
      <c r="AC64" s="148" t="s">
        <v>55</v>
      </c>
      <c r="AD64" s="150"/>
      <c r="AE64" s="136" t="s">
        <v>56</v>
      </c>
      <c r="AF64" s="137"/>
      <c r="AG64" s="137"/>
      <c r="AH64" s="138"/>
      <c r="AI64" s="136" t="s">
        <v>10</v>
      </c>
      <c r="AJ64" s="137"/>
      <c r="AK64" s="137"/>
      <c r="AL64" s="137"/>
      <c r="AM64" s="137"/>
      <c r="AN64" s="138"/>
      <c r="AO64" s="5" t="s">
        <v>55</v>
      </c>
      <c r="AP64" s="136" t="s">
        <v>56</v>
      </c>
      <c r="AQ64" s="137"/>
      <c r="AR64" s="137"/>
      <c r="AS64" s="138"/>
      <c r="AT64" s="125" t="s">
        <v>10</v>
      </c>
      <c r="AU64" s="127"/>
    </row>
    <row r="65" spans="1:47" hidden="1">
      <c r="A65" s="131"/>
      <c r="B65" s="132"/>
      <c r="C65" s="139"/>
      <c r="D65" s="139"/>
      <c r="E65" s="139"/>
      <c r="F65" s="139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140"/>
      <c r="AC65" s="141"/>
      <c r="AD65" s="141"/>
      <c r="AE65" s="141"/>
      <c r="AF65" s="141"/>
      <c r="AG65" s="141"/>
      <c r="AH65" s="141"/>
      <c r="AI65" s="141"/>
      <c r="AJ65" s="141"/>
      <c r="AK65" s="141"/>
      <c r="AL65" s="141"/>
      <c r="AM65" s="141"/>
      <c r="AN65" s="141"/>
      <c r="AO65" s="139"/>
      <c r="AP65" s="139"/>
      <c r="AQ65" s="139"/>
      <c r="AR65" s="139"/>
      <c r="AS65" s="139"/>
      <c r="AT65" s="139"/>
      <c r="AU65" s="142"/>
    </row>
    <row r="66" spans="1:47" ht="15.75" hidden="1" thickBot="1">
      <c r="A66" s="131"/>
      <c r="B66" s="132"/>
      <c r="C66" s="132"/>
      <c r="D66" s="132"/>
      <c r="E66" s="132"/>
      <c r="F66" s="132"/>
      <c r="G66" s="132"/>
      <c r="H66" s="132"/>
      <c r="I66" s="132"/>
      <c r="J66" s="132"/>
      <c r="K66" s="132"/>
      <c r="L66" s="132"/>
      <c r="M66" s="132"/>
      <c r="N66" s="132"/>
      <c r="O66" s="132"/>
      <c r="P66" s="132"/>
      <c r="Q66" s="132"/>
      <c r="R66" s="132"/>
      <c r="S66" s="132"/>
      <c r="T66" s="132"/>
      <c r="U66" s="132"/>
      <c r="V66" s="132"/>
      <c r="W66" s="132"/>
      <c r="X66" s="132"/>
      <c r="Y66" s="132"/>
      <c r="Z66" s="132"/>
      <c r="AA66" s="132"/>
      <c r="AB66" s="132"/>
      <c r="AC66" s="133"/>
      <c r="AD66" s="133"/>
      <c r="AE66" s="133"/>
      <c r="AF66" s="133"/>
      <c r="AG66" s="133"/>
      <c r="AH66" s="133"/>
      <c r="AI66" s="133"/>
      <c r="AJ66" s="133"/>
      <c r="AK66" s="133"/>
      <c r="AL66" s="133"/>
      <c r="AM66" s="133"/>
      <c r="AN66" s="133"/>
      <c r="AO66" s="134"/>
      <c r="AP66" s="134"/>
      <c r="AQ66" s="134"/>
      <c r="AR66" s="134"/>
      <c r="AS66" s="134"/>
      <c r="AT66" s="134"/>
      <c r="AU66" s="135"/>
    </row>
    <row r="67" spans="1:47" ht="15.75" hidden="1" thickBot="1">
      <c r="A67" s="116" t="s">
        <v>58</v>
      </c>
      <c r="B67" s="117"/>
      <c r="C67" s="117"/>
      <c r="D67" s="117"/>
      <c r="E67" s="117"/>
      <c r="F67" s="117"/>
      <c r="G67" s="117"/>
      <c r="H67" s="117"/>
      <c r="I67" s="117"/>
      <c r="J67" s="117"/>
      <c r="K67" s="117"/>
      <c r="L67" s="117"/>
      <c r="M67" s="117"/>
      <c r="N67" s="117"/>
      <c r="O67" s="117"/>
      <c r="P67" s="117"/>
      <c r="Q67" s="118" t="s">
        <v>59</v>
      </c>
      <c r="R67" s="118"/>
      <c r="S67" s="118"/>
      <c r="T67" s="118"/>
      <c r="U67" s="118"/>
      <c r="V67" s="118"/>
      <c r="W67" s="118"/>
      <c r="X67" s="118"/>
      <c r="Y67" s="118"/>
      <c r="Z67" s="117"/>
      <c r="AA67" s="117"/>
      <c r="AB67" s="117"/>
      <c r="AC67" s="117"/>
      <c r="AD67" s="117"/>
      <c r="AE67" s="117"/>
      <c r="AF67" s="117"/>
      <c r="AG67" s="117"/>
      <c r="AH67" s="117"/>
      <c r="AI67" s="117"/>
      <c r="AJ67" s="117"/>
      <c r="AK67" s="117"/>
      <c r="AL67" s="117"/>
      <c r="AM67" s="117"/>
      <c r="AN67" s="119"/>
      <c r="AO67" s="120" t="s">
        <v>60</v>
      </c>
      <c r="AP67" s="121"/>
      <c r="AQ67" s="122"/>
      <c r="AR67" s="123"/>
      <c r="AS67" s="123"/>
      <c r="AT67" s="123"/>
      <c r="AU67" s="124"/>
    </row>
    <row r="68" spans="1:47" hidden="1"/>
  </sheetData>
  <sheetProtection selectLockedCells="1"/>
  <mergeCells count="439">
    <mergeCell ref="A1:J1"/>
    <mergeCell ref="K1:X1"/>
    <mergeCell ref="Y1:Z1"/>
    <mergeCell ref="AA1:AM1"/>
    <mergeCell ref="AN1:AQ1"/>
    <mergeCell ref="AR1:AU1"/>
    <mergeCell ref="A12:D12"/>
    <mergeCell ref="A16:U16"/>
    <mergeCell ref="AF2:AJ2"/>
    <mergeCell ref="AK2:AR2"/>
    <mergeCell ref="AS2:AU2"/>
    <mergeCell ref="A3:C3"/>
    <mergeCell ref="D3:G3"/>
    <mergeCell ref="H3:Q3"/>
    <mergeCell ref="R3:W3"/>
    <mergeCell ref="X3:AA3"/>
    <mergeCell ref="AB3:AE3"/>
    <mergeCell ref="AF3:AJ3"/>
    <mergeCell ref="A2:C2"/>
    <mergeCell ref="D2:G2"/>
    <mergeCell ref="H2:Q2"/>
    <mergeCell ref="R2:W2"/>
    <mergeCell ref="X2:AA2"/>
    <mergeCell ref="AB2:AE2"/>
    <mergeCell ref="AK3:AR3"/>
    <mergeCell ref="AS3:AU3"/>
    <mergeCell ref="A4:H4"/>
    <mergeCell ref="I4:Q4"/>
    <mergeCell ref="R4:W4"/>
    <mergeCell ref="X4:AA4"/>
    <mergeCell ref="AB4:AF4"/>
    <mergeCell ref="AG4:AK4"/>
    <mergeCell ref="AL4:AT4"/>
    <mergeCell ref="A6:D6"/>
    <mergeCell ref="E6:I6"/>
    <mergeCell ref="J6:O6"/>
    <mergeCell ref="P6:U6"/>
    <mergeCell ref="V6:AG6"/>
    <mergeCell ref="AH6:AL6"/>
    <mergeCell ref="AM6:AS6"/>
    <mergeCell ref="AT6:AU6"/>
    <mergeCell ref="AM7:AS7"/>
    <mergeCell ref="AT7:AU7"/>
    <mergeCell ref="A8:N8"/>
    <mergeCell ref="O8:U8"/>
    <mergeCell ref="V8:Y8"/>
    <mergeCell ref="Z8:AG8"/>
    <mergeCell ref="AH8:AL8"/>
    <mergeCell ref="AM8:AS8"/>
    <mergeCell ref="AT8:AU8"/>
    <mergeCell ref="A7:D7"/>
    <mergeCell ref="E7:I7"/>
    <mergeCell ref="J7:O7"/>
    <mergeCell ref="P7:U7"/>
    <mergeCell ref="V7:AG7"/>
    <mergeCell ref="AH7:AL7"/>
    <mergeCell ref="AT9:AU9"/>
    <mergeCell ref="A10:D10"/>
    <mergeCell ref="E10:I10"/>
    <mergeCell ref="J10:U10"/>
    <mergeCell ref="V10:Y10"/>
    <mergeCell ref="Z10:AL10"/>
    <mergeCell ref="AM10:AS10"/>
    <mergeCell ref="AT10:AU10"/>
    <mergeCell ref="A9:R9"/>
    <mergeCell ref="S9:U9"/>
    <mergeCell ref="V9:Y9"/>
    <mergeCell ref="Z9:AG9"/>
    <mergeCell ref="AH9:AL9"/>
    <mergeCell ref="AM9:AS9"/>
    <mergeCell ref="A11:D11"/>
    <mergeCell ref="E11:I11"/>
    <mergeCell ref="J11:U11"/>
    <mergeCell ref="V11:AL11"/>
    <mergeCell ref="AM11:AU11"/>
    <mergeCell ref="A13:D13"/>
    <mergeCell ref="E13:I13"/>
    <mergeCell ref="J13:U13"/>
    <mergeCell ref="V13:AL13"/>
    <mergeCell ref="AM13:AU13"/>
    <mergeCell ref="AM14:AU14"/>
    <mergeCell ref="A15:D15"/>
    <mergeCell ref="E15:I15"/>
    <mergeCell ref="J15:U15"/>
    <mergeCell ref="V15:AL15"/>
    <mergeCell ref="AM15:AU15"/>
    <mergeCell ref="A14:D14"/>
    <mergeCell ref="E14:I14"/>
    <mergeCell ref="J14:U14"/>
    <mergeCell ref="V14:AA14"/>
    <mergeCell ref="AB14:AD14"/>
    <mergeCell ref="AF14:AL14"/>
    <mergeCell ref="AM16:AU16"/>
    <mergeCell ref="V16:AA16"/>
    <mergeCell ref="AB16:AD16"/>
    <mergeCell ref="AF16:AL16"/>
    <mergeCell ref="A17:D17"/>
    <mergeCell ref="V17:Y17"/>
    <mergeCell ref="Z17:AG17"/>
    <mergeCell ref="AH17:AL17"/>
    <mergeCell ref="AM17:AS17"/>
    <mergeCell ref="AT17:AU17"/>
    <mergeCell ref="E17:N17"/>
    <mergeCell ref="O17:U17"/>
    <mergeCell ref="AM18:AS18"/>
    <mergeCell ref="AT18:AU18"/>
    <mergeCell ref="A19:D19"/>
    <mergeCell ref="E19:I19"/>
    <mergeCell ref="J19:U19"/>
    <mergeCell ref="V19:AG19"/>
    <mergeCell ref="AH19:AL19"/>
    <mergeCell ref="AM19:AS19"/>
    <mergeCell ref="AT19:AU19"/>
    <mergeCell ref="A18:D18"/>
    <mergeCell ref="E18:I18"/>
    <mergeCell ref="J18:U18"/>
    <mergeCell ref="V18:Y18"/>
    <mergeCell ref="Z18:AG18"/>
    <mergeCell ref="AH18:AL18"/>
    <mergeCell ref="AM21:AS21"/>
    <mergeCell ref="AT21:AU21"/>
    <mergeCell ref="A22:D22"/>
    <mergeCell ref="A20:D20"/>
    <mergeCell ref="E20:I20"/>
    <mergeCell ref="J20:O20"/>
    <mergeCell ref="P20:U20"/>
    <mergeCell ref="V20:Y20"/>
    <mergeCell ref="Z20:AG20"/>
    <mergeCell ref="AM20:AS20"/>
    <mergeCell ref="AT20:AU20"/>
    <mergeCell ref="A21:D21"/>
    <mergeCell ref="E21:U21"/>
    <mergeCell ref="V21:Y21"/>
    <mergeCell ref="Z21:AG21"/>
    <mergeCell ref="A24:D24"/>
    <mergeCell ref="E24:U24"/>
    <mergeCell ref="V24:AG24"/>
    <mergeCell ref="AH24:AL24"/>
    <mergeCell ref="AM24:AS24"/>
    <mergeCell ref="AT24:AU24"/>
    <mergeCell ref="AT23:AU23"/>
    <mergeCell ref="E22:U22"/>
    <mergeCell ref="V22:Y22"/>
    <mergeCell ref="Z22:AG22"/>
    <mergeCell ref="AM22:AS22"/>
    <mergeCell ref="AT22:AU22"/>
    <mergeCell ref="A23:D23"/>
    <mergeCell ref="E23:U23"/>
    <mergeCell ref="V23:Y23"/>
    <mergeCell ref="Z23:AG23"/>
    <mergeCell ref="AM23:AS23"/>
    <mergeCell ref="AM25:AS25"/>
    <mergeCell ref="AT25:AU25"/>
    <mergeCell ref="B26:I26"/>
    <mergeCell ref="J26:O26"/>
    <mergeCell ref="P26:U26"/>
    <mergeCell ref="V26:Y26"/>
    <mergeCell ref="Z26:AG26"/>
    <mergeCell ref="AH26:AL26"/>
    <mergeCell ref="AM26:AS26"/>
    <mergeCell ref="AT26:AU26"/>
    <mergeCell ref="A25:D25"/>
    <mergeCell ref="E25:I25"/>
    <mergeCell ref="J25:O25"/>
    <mergeCell ref="P25:U25"/>
    <mergeCell ref="V25:AG25"/>
    <mergeCell ref="AH25:AL25"/>
    <mergeCell ref="AT27:AU27"/>
    <mergeCell ref="B28:I28"/>
    <mergeCell ref="J28:O28"/>
    <mergeCell ref="P28:U28"/>
    <mergeCell ref="V28:Y28"/>
    <mergeCell ref="Z28:AG28"/>
    <mergeCell ref="AH28:AL28"/>
    <mergeCell ref="AM28:AS28"/>
    <mergeCell ref="AT28:AU28"/>
    <mergeCell ref="B27:I27"/>
    <mergeCell ref="J27:O27"/>
    <mergeCell ref="P27:U27"/>
    <mergeCell ref="V27:AG27"/>
    <mergeCell ref="AH27:AL27"/>
    <mergeCell ref="AM27:AS27"/>
    <mergeCell ref="AH29:AL29"/>
    <mergeCell ref="AM29:AS29"/>
    <mergeCell ref="AT29:AU29"/>
    <mergeCell ref="A30:D30"/>
    <mergeCell ref="E30:U30"/>
    <mergeCell ref="V30:Y30"/>
    <mergeCell ref="Z30:AG30"/>
    <mergeCell ref="AH30:AL30"/>
    <mergeCell ref="AM30:AS30"/>
    <mergeCell ref="AT30:AU30"/>
    <mergeCell ref="A29:D29"/>
    <mergeCell ref="E29:I29"/>
    <mergeCell ref="J29:O29"/>
    <mergeCell ref="P29:U29"/>
    <mergeCell ref="V29:Y29"/>
    <mergeCell ref="Z29:AG29"/>
    <mergeCell ref="A33:D33"/>
    <mergeCell ref="E33:U33"/>
    <mergeCell ref="V33:AG33"/>
    <mergeCell ref="AH33:AL33"/>
    <mergeCell ref="AM33:AS33"/>
    <mergeCell ref="AT33:AU33"/>
    <mergeCell ref="AT31:AU31"/>
    <mergeCell ref="A32:D32"/>
    <mergeCell ref="E32:U32"/>
    <mergeCell ref="V32:Y32"/>
    <mergeCell ref="Z32:AG32"/>
    <mergeCell ref="AH32:AL32"/>
    <mergeCell ref="AM32:AS32"/>
    <mergeCell ref="AT32:AU32"/>
    <mergeCell ref="A31:D31"/>
    <mergeCell ref="E31:U31"/>
    <mergeCell ref="V31:Y31"/>
    <mergeCell ref="Z31:AG31"/>
    <mergeCell ref="AH31:AL31"/>
    <mergeCell ref="AM31:AS31"/>
    <mergeCell ref="AT35:AU35"/>
    <mergeCell ref="B36:I36"/>
    <mergeCell ref="J36:O36"/>
    <mergeCell ref="P36:U36"/>
    <mergeCell ref="V36:AG36"/>
    <mergeCell ref="AH36:AL36"/>
    <mergeCell ref="AM36:AS36"/>
    <mergeCell ref="AT36:AU36"/>
    <mergeCell ref="AH34:AL34"/>
    <mergeCell ref="AM34:AS34"/>
    <mergeCell ref="AT34:AU34"/>
    <mergeCell ref="B35:I35"/>
    <mergeCell ref="J35:O35"/>
    <mergeCell ref="P35:U35"/>
    <mergeCell ref="V35:Y35"/>
    <mergeCell ref="Z35:AG35"/>
    <mergeCell ref="AH35:AL35"/>
    <mergeCell ref="AM35:AS35"/>
    <mergeCell ref="A34:D34"/>
    <mergeCell ref="E34:I34"/>
    <mergeCell ref="J34:O34"/>
    <mergeCell ref="P34:U34"/>
    <mergeCell ref="V34:Y34"/>
    <mergeCell ref="Z34:AG34"/>
    <mergeCell ref="AT38:AU38"/>
    <mergeCell ref="A39:D39"/>
    <mergeCell ref="E39:U39"/>
    <mergeCell ref="V39:AG39"/>
    <mergeCell ref="AH39:AL39"/>
    <mergeCell ref="AM39:AS39"/>
    <mergeCell ref="AT39:AU39"/>
    <mergeCell ref="AM37:AS37"/>
    <mergeCell ref="AT37:AU37"/>
    <mergeCell ref="A38:D38"/>
    <mergeCell ref="E38:I38"/>
    <mergeCell ref="J38:O38"/>
    <mergeCell ref="P38:U38"/>
    <mergeCell ref="V38:Y38"/>
    <mergeCell ref="Z38:AG38"/>
    <mergeCell ref="AH38:AL38"/>
    <mergeCell ref="AM38:AS38"/>
    <mergeCell ref="B37:I37"/>
    <mergeCell ref="J37:O37"/>
    <mergeCell ref="P37:U37"/>
    <mergeCell ref="V37:Y37"/>
    <mergeCell ref="Z37:AG37"/>
    <mergeCell ref="AH37:AL37"/>
    <mergeCell ref="AT40:AU40"/>
    <mergeCell ref="B41:I41"/>
    <mergeCell ref="J41:O41"/>
    <mergeCell ref="P41:U41"/>
    <mergeCell ref="V41:Y41"/>
    <mergeCell ref="Z41:AG41"/>
    <mergeCell ref="AH41:AL41"/>
    <mergeCell ref="AM41:AS41"/>
    <mergeCell ref="AT41:AU41"/>
    <mergeCell ref="A40:D40"/>
    <mergeCell ref="E40:U40"/>
    <mergeCell ref="V40:Y40"/>
    <mergeCell ref="Z40:AG40"/>
    <mergeCell ref="AH40:AL40"/>
    <mergeCell ref="AM40:AS40"/>
    <mergeCell ref="AT42:AU42"/>
    <mergeCell ref="B43:I43"/>
    <mergeCell ref="J43:O43"/>
    <mergeCell ref="P43:U43"/>
    <mergeCell ref="V43:Y43"/>
    <mergeCell ref="Z43:AG43"/>
    <mergeCell ref="AH43:AL43"/>
    <mergeCell ref="AM43:AS43"/>
    <mergeCell ref="AT43:AU43"/>
    <mergeCell ref="B42:I42"/>
    <mergeCell ref="J42:O42"/>
    <mergeCell ref="P42:U42"/>
    <mergeCell ref="V42:AG42"/>
    <mergeCell ref="AH42:AL42"/>
    <mergeCell ref="AM42:AS42"/>
    <mergeCell ref="AT44:AU44"/>
    <mergeCell ref="A45:AU45"/>
    <mergeCell ref="A46:E46"/>
    <mergeCell ref="F46:I46"/>
    <mergeCell ref="J46:O46"/>
    <mergeCell ref="P46:AB46"/>
    <mergeCell ref="AC46:AL46"/>
    <mergeCell ref="AM46:AS46"/>
    <mergeCell ref="AT46:AU46"/>
    <mergeCell ref="A44:D44"/>
    <mergeCell ref="E44:U44"/>
    <mergeCell ref="V44:Y44"/>
    <mergeCell ref="Z44:AB44"/>
    <mergeCell ref="AC44:AL44"/>
    <mergeCell ref="AM44:AS44"/>
    <mergeCell ref="A50:F50"/>
    <mergeCell ref="G50:S50"/>
    <mergeCell ref="T50:U50"/>
    <mergeCell ref="V50:AC50"/>
    <mergeCell ref="AD50:AP50"/>
    <mergeCell ref="AQ50:AU50"/>
    <mergeCell ref="AT47:AU47"/>
    <mergeCell ref="A48:AU48"/>
    <mergeCell ref="A49:L49"/>
    <mergeCell ref="M49:S49"/>
    <mergeCell ref="T49:Y49"/>
    <mergeCell ref="Z49:AC49"/>
    <mergeCell ref="AD49:AP49"/>
    <mergeCell ref="AQ49:AU49"/>
    <mergeCell ref="A47:E47"/>
    <mergeCell ref="F47:I47"/>
    <mergeCell ref="J47:O47"/>
    <mergeCell ref="P47:AB47"/>
    <mergeCell ref="AC47:AL47"/>
    <mergeCell ref="AM47:AS47"/>
    <mergeCell ref="AJ51:AP51"/>
    <mergeCell ref="AQ51:AS51"/>
    <mergeCell ref="AT51:AU51"/>
    <mergeCell ref="A52:F52"/>
    <mergeCell ref="G52:L52"/>
    <mergeCell ref="M52:S52"/>
    <mergeCell ref="T52:U52"/>
    <mergeCell ref="V52:AC52"/>
    <mergeCell ref="AD52:AI52"/>
    <mergeCell ref="AJ52:AP52"/>
    <mergeCell ref="A51:F51"/>
    <mergeCell ref="G51:L51"/>
    <mergeCell ref="M51:S51"/>
    <mergeCell ref="T51:U51"/>
    <mergeCell ref="V51:AC51"/>
    <mergeCell ref="AD51:AI51"/>
    <mergeCell ref="AQ52:AS52"/>
    <mergeCell ref="AT52:AU52"/>
    <mergeCell ref="A53:F53"/>
    <mergeCell ref="G53:L53"/>
    <mergeCell ref="M53:S53"/>
    <mergeCell ref="T53:U53"/>
    <mergeCell ref="V53:AC53"/>
    <mergeCell ref="AD53:AI53"/>
    <mergeCell ref="AJ53:AP53"/>
    <mergeCell ref="AQ53:AS53"/>
    <mergeCell ref="AT53:AU53"/>
    <mergeCell ref="A54:F54"/>
    <mergeCell ref="G54:L54"/>
    <mergeCell ref="M54:S54"/>
    <mergeCell ref="T54:U54"/>
    <mergeCell ref="V54:AC54"/>
    <mergeCell ref="AD54:AI54"/>
    <mergeCell ref="AJ54:AP54"/>
    <mergeCell ref="AQ54:AS54"/>
    <mergeCell ref="AT54:AU54"/>
    <mergeCell ref="AJ55:AP55"/>
    <mergeCell ref="AQ55:AS55"/>
    <mergeCell ref="AT55:AU55"/>
    <mergeCell ref="A56:E56"/>
    <mergeCell ref="F56:K56"/>
    <mergeCell ref="L56:O56"/>
    <mergeCell ref="P56:U56"/>
    <mergeCell ref="V56:Y56"/>
    <mergeCell ref="Z56:AB56"/>
    <mergeCell ref="AC56:AL56"/>
    <mergeCell ref="A55:F55"/>
    <mergeCell ref="G55:L55"/>
    <mergeCell ref="M55:S55"/>
    <mergeCell ref="T55:U55"/>
    <mergeCell ref="V55:Y55"/>
    <mergeCell ref="Z55:AI55"/>
    <mergeCell ref="AM56:AS56"/>
    <mergeCell ref="AT56:AU56"/>
    <mergeCell ref="A57:AU57"/>
    <mergeCell ref="A58:AU62"/>
    <mergeCell ref="A63:B63"/>
    <mergeCell ref="C63:F63"/>
    <mergeCell ref="G63:M63"/>
    <mergeCell ref="N63:P63"/>
    <mergeCell ref="Q63:T63"/>
    <mergeCell ref="U63:V63"/>
    <mergeCell ref="AT63:AU63"/>
    <mergeCell ref="W63:Y63"/>
    <mergeCell ref="Z63:AB63"/>
    <mergeCell ref="AC63:AD63"/>
    <mergeCell ref="AE63:AH63"/>
    <mergeCell ref="AI63:AN63"/>
    <mergeCell ref="AP63:AS63"/>
    <mergeCell ref="C65:F65"/>
    <mergeCell ref="G65:M65"/>
    <mergeCell ref="N65:P65"/>
    <mergeCell ref="Q65:Y65"/>
    <mergeCell ref="Z65:AB65"/>
    <mergeCell ref="AC65:AN65"/>
    <mergeCell ref="AO65:AU65"/>
    <mergeCell ref="A64:B64"/>
    <mergeCell ref="C64:F64"/>
    <mergeCell ref="G64:M64"/>
    <mergeCell ref="N64:P64"/>
    <mergeCell ref="Q64:T64"/>
    <mergeCell ref="U64:V64"/>
    <mergeCell ref="W64:Y64"/>
    <mergeCell ref="Z64:AB64"/>
    <mergeCell ref="AC64:AD64"/>
    <mergeCell ref="A67:C67"/>
    <mergeCell ref="D67:F67"/>
    <mergeCell ref="G67:M67"/>
    <mergeCell ref="N67:P67"/>
    <mergeCell ref="Q67:Y67"/>
    <mergeCell ref="Z67:AN67"/>
    <mergeCell ref="AO67:AP67"/>
    <mergeCell ref="AQ67:AU67"/>
    <mergeCell ref="J12:U12"/>
    <mergeCell ref="E12:I12"/>
    <mergeCell ref="A66:B66"/>
    <mergeCell ref="C66:F66"/>
    <mergeCell ref="G66:M66"/>
    <mergeCell ref="N66:P66"/>
    <mergeCell ref="Q66:Y66"/>
    <mergeCell ref="Z66:AB66"/>
    <mergeCell ref="AC66:AN66"/>
    <mergeCell ref="AO66:AP66"/>
    <mergeCell ref="AQ66:AU66"/>
    <mergeCell ref="AE64:AH64"/>
    <mergeCell ref="AI64:AN64"/>
    <mergeCell ref="AP64:AS64"/>
    <mergeCell ref="AT64:AU64"/>
    <mergeCell ref="A65:B65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7" r:id="rId4" name="Button 33">
              <controlPr defaultSize="0" print="0" autoFill="0" autoPict="0" macro="[0]!customCrewDisplay">
                <anchor moveWithCells="1">
                  <from>
                    <xdr:col>31</xdr:col>
                    <xdr:colOff>104775</xdr:colOff>
                    <xdr:row>3</xdr:row>
                    <xdr:rowOff>95250</xdr:rowOff>
                  </from>
                  <to>
                    <xdr:col>35</xdr:col>
                    <xdr:colOff>142875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5" name="Button 38">
              <controlPr defaultSize="0" print="0" autoFill="0" autoPict="0" macro="[0]!sectionTrim">
                <anchor moveWithCells="1">
                  <from>
                    <xdr:col>27</xdr:col>
                    <xdr:colOff>66675</xdr:colOff>
                    <xdr:row>9</xdr:row>
                    <xdr:rowOff>171450</xdr:rowOff>
                  </from>
                  <to>
                    <xdr:col>31</xdr:col>
                    <xdr:colOff>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seatrowTrim">
                <anchor moveWithCells="1">
                  <from>
                    <xdr:col>32</xdr:col>
                    <xdr:colOff>123825</xdr:colOff>
                    <xdr:row>9</xdr:row>
                    <xdr:rowOff>200025</xdr:rowOff>
                  </from>
                  <to>
                    <xdr:col>36</xdr:col>
                    <xdr:colOff>209550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heckEnvelope">
                <anchor moveWithCells="1">
                  <from>
                    <xdr:col>47</xdr:col>
                    <xdr:colOff>114300</xdr:colOff>
                    <xdr:row>10</xdr:row>
                    <xdr:rowOff>0</xdr:rowOff>
                  </from>
                  <to>
                    <xdr:col>55</xdr:col>
                    <xdr:colOff>9525</xdr:colOff>
                    <xdr:row>26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5B43236-B326-45A0-8BBD-694489F0C0BC}">
          <x14:formula1>
            <xm:f>'Aircraft Data'!$C$2:$C$9</xm:f>
          </x14:formula1>
          <xm:sqref>H3:Q3</xm:sqref>
        </x14:dataValidation>
        <x14:dataValidation type="list" allowBlank="1" showInputMessage="1" showErrorMessage="1" xr:uid="{B30DB38E-8A4B-4114-9953-D931B8EF328D}">
          <x14:formula1>
            <xm:f>'Aircraft Data'!$A$25:$A$32</xm:f>
          </x14:formula1>
          <xm:sqref>AS3:AU3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10C85-AC05-4F80-95B5-3D18A9ED9D9B}">
  <sheetPr codeName="acData"/>
  <dimension ref="A1:Q53"/>
  <sheetViews>
    <sheetView topLeftCell="A30" workbookViewId="0">
      <selection activeCell="N12" sqref="N12"/>
    </sheetView>
  </sheetViews>
  <sheetFormatPr baseColWidth="10" defaultColWidth="10.7109375" defaultRowHeight="15"/>
  <cols>
    <col min="1" max="1" width="18.28515625" bestFit="1" customWidth="1"/>
    <col min="2" max="3" width="12.5703125" bestFit="1" customWidth="1"/>
  </cols>
  <sheetData>
    <row r="1" spans="1:17">
      <c r="A1" t="s">
        <v>109</v>
      </c>
      <c r="C1" t="s">
        <v>118</v>
      </c>
      <c r="D1" t="s">
        <v>130</v>
      </c>
      <c r="F1" t="s">
        <v>143</v>
      </c>
      <c r="H1" t="s">
        <v>148</v>
      </c>
    </row>
    <row r="2" spans="1:17">
      <c r="A2" s="46" t="s">
        <v>107</v>
      </c>
      <c r="C2" s="115" t="s">
        <v>241</v>
      </c>
      <c r="D2">
        <v>2</v>
      </c>
      <c r="F2" t="s">
        <v>144</v>
      </c>
      <c r="H2" s="282" t="s">
        <v>108</v>
      </c>
      <c r="I2" t="s">
        <v>135</v>
      </c>
      <c r="J2">
        <v>88</v>
      </c>
    </row>
    <row r="3" spans="1:17">
      <c r="A3" s="46" t="s">
        <v>108</v>
      </c>
      <c r="C3" t="s">
        <v>242</v>
      </c>
      <c r="D3">
        <v>4</v>
      </c>
      <c r="F3" t="s">
        <v>141</v>
      </c>
      <c r="H3" s="282"/>
      <c r="I3" t="s">
        <v>149</v>
      </c>
      <c r="J3">
        <v>70</v>
      </c>
      <c r="N3" s="283" t="s">
        <v>240</v>
      </c>
      <c r="O3" s="283"/>
      <c r="P3" s="283"/>
      <c r="Q3" s="283"/>
    </row>
    <row r="4" spans="1:17">
      <c r="C4" t="s">
        <v>243</v>
      </c>
      <c r="D4">
        <v>6</v>
      </c>
      <c r="F4" t="s">
        <v>142</v>
      </c>
      <c r="H4" s="282"/>
      <c r="I4" t="s">
        <v>110</v>
      </c>
      <c r="J4">
        <v>84</v>
      </c>
      <c r="N4" s="283"/>
      <c r="O4" s="283"/>
      <c r="P4" s="283"/>
      <c r="Q4" s="283"/>
    </row>
    <row r="5" spans="1:17">
      <c r="C5" t="s">
        <v>244</v>
      </c>
      <c r="D5">
        <v>8</v>
      </c>
      <c r="F5" t="s">
        <v>145</v>
      </c>
      <c r="H5" s="282" t="s">
        <v>107</v>
      </c>
      <c r="I5" t="s">
        <v>135</v>
      </c>
      <c r="J5">
        <v>83</v>
      </c>
      <c r="N5" s="283"/>
      <c r="O5" s="283"/>
      <c r="P5" s="283"/>
      <c r="Q5" s="283"/>
    </row>
    <row r="6" spans="1:17">
      <c r="C6" t="s">
        <v>245</v>
      </c>
      <c r="D6">
        <v>10</v>
      </c>
      <c r="F6" t="s">
        <v>146</v>
      </c>
      <c r="H6" s="282"/>
      <c r="I6" t="s">
        <v>149</v>
      </c>
      <c r="J6">
        <v>69</v>
      </c>
      <c r="N6" s="283"/>
      <c r="O6" s="283"/>
      <c r="P6" s="283"/>
      <c r="Q6" s="283"/>
    </row>
    <row r="7" spans="1:17">
      <c r="C7" t="s">
        <v>246</v>
      </c>
      <c r="D7">
        <v>12</v>
      </c>
      <c r="H7" s="282"/>
      <c r="I7" t="s">
        <v>110</v>
      </c>
      <c r="J7">
        <v>76</v>
      </c>
      <c r="N7" s="283"/>
      <c r="O7" s="283"/>
      <c r="P7" s="283"/>
      <c r="Q7" s="283"/>
    </row>
    <row r="8" spans="1:17">
      <c r="C8" t="s">
        <v>247</v>
      </c>
      <c r="D8">
        <v>14</v>
      </c>
      <c r="I8" t="s">
        <v>150</v>
      </c>
      <c r="J8">
        <v>35</v>
      </c>
    </row>
    <row r="9" spans="1:17">
      <c r="C9" t="s">
        <v>248</v>
      </c>
      <c r="D9">
        <v>16</v>
      </c>
      <c r="I9" t="s">
        <v>136</v>
      </c>
      <c r="J9">
        <v>0</v>
      </c>
    </row>
    <row r="22" spans="1:17" ht="15.75" thickBot="1"/>
    <row r="23" spans="1:17" ht="15.75" thickBot="1">
      <c r="A23" s="49"/>
      <c r="B23" s="58" t="s">
        <v>241</v>
      </c>
      <c r="C23" s="59"/>
      <c r="D23" s="60" t="s">
        <v>242</v>
      </c>
      <c r="E23" s="59"/>
      <c r="F23" s="61" t="s">
        <v>243</v>
      </c>
      <c r="G23" s="62"/>
      <c r="H23" s="61" t="s">
        <v>244</v>
      </c>
      <c r="I23" s="62"/>
      <c r="J23" s="63" t="s">
        <v>245</v>
      </c>
      <c r="K23" s="64"/>
      <c r="L23" s="61" t="s">
        <v>246</v>
      </c>
      <c r="M23" s="62"/>
      <c r="N23" s="61" t="s">
        <v>247</v>
      </c>
      <c r="O23" s="62"/>
      <c r="P23" s="61" t="s">
        <v>248</v>
      </c>
      <c r="Q23" s="62"/>
    </row>
    <row r="24" spans="1:17" ht="15.75" thickBot="1">
      <c r="A24" s="50" t="s">
        <v>121</v>
      </c>
      <c r="B24" s="51" t="s">
        <v>9</v>
      </c>
      <c r="C24" s="51" t="s">
        <v>11</v>
      </c>
      <c r="D24" s="52" t="s">
        <v>9</v>
      </c>
      <c r="E24" s="52" t="s">
        <v>11</v>
      </c>
      <c r="F24" s="51" t="s">
        <v>9</v>
      </c>
      <c r="G24" s="51" t="s">
        <v>11</v>
      </c>
      <c r="H24" s="52" t="s">
        <v>9</v>
      </c>
      <c r="I24" s="52" t="s">
        <v>11</v>
      </c>
      <c r="J24" s="50" t="s">
        <v>9</v>
      </c>
      <c r="K24" s="51" t="s">
        <v>11</v>
      </c>
      <c r="L24" s="52" t="s">
        <v>9</v>
      </c>
      <c r="M24" s="52" t="s">
        <v>9</v>
      </c>
      <c r="N24" s="52" t="s">
        <v>11</v>
      </c>
      <c r="O24" s="52" t="s">
        <v>11</v>
      </c>
      <c r="P24" s="52" t="s">
        <v>9</v>
      </c>
      <c r="Q24" s="52" t="s">
        <v>11</v>
      </c>
    </row>
    <row r="25" spans="1:17" ht="15.75" thickBot="1">
      <c r="A25" s="50" t="s">
        <v>18</v>
      </c>
      <c r="B25" s="65">
        <v>34007</v>
      </c>
      <c r="C25" s="51">
        <v>43.24</v>
      </c>
      <c r="D25" s="65">
        <v>34013</v>
      </c>
      <c r="E25" s="52">
        <v>43.41</v>
      </c>
      <c r="F25" s="65">
        <v>34051</v>
      </c>
      <c r="G25" s="51">
        <v>43.45</v>
      </c>
      <c r="H25" s="65">
        <v>34002</v>
      </c>
      <c r="I25" s="52">
        <v>43.35</v>
      </c>
      <c r="J25" s="50">
        <v>34005</v>
      </c>
      <c r="K25" s="51">
        <v>43.35</v>
      </c>
      <c r="L25" s="112">
        <v>34000</v>
      </c>
      <c r="M25" s="112">
        <v>43.3</v>
      </c>
      <c r="N25" s="52">
        <v>34062</v>
      </c>
      <c r="O25" s="52">
        <v>43.08</v>
      </c>
      <c r="P25" s="112">
        <v>34052</v>
      </c>
      <c r="Q25" s="112">
        <v>43.77</v>
      </c>
    </row>
    <row r="26" spans="1:17" ht="15.75" thickBot="1">
      <c r="A26" s="50" t="s">
        <v>20</v>
      </c>
      <c r="B26" s="65">
        <v>34032</v>
      </c>
      <c r="C26" s="51">
        <v>43.76</v>
      </c>
      <c r="D26" s="65">
        <v>34038</v>
      </c>
      <c r="E26" s="52">
        <v>43.93</v>
      </c>
      <c r="F26" s="65">
        <v>34076</v>
      </c>
      <c r="G26" s="51">
        <v>43.97</v>
      </c>
      <c r="H26" s="65">
        <v>34027</v>
      </c>
      <c r="I26" s="52">
        <v>43.88</v>
      </c>
      <c r="J26" s="50">
        <v>34030</v>
      </c>
      <c r="K26" s="51">
        <v>43.87</v>
      </c>
      <c r="L26" s="52">
        <v>34025</v>
      </c>
      <c r="M26" s="52">
        <v>43.82</v>
      </c>
      <c r="N26" s="52">
        <v>34087</v>
      </c>
      <c r="O26" s="52">
        <v>43.6</v>
      </c>
      <c r="P26" s="52">
        <v>34077</v>
      </c>
      <c r="Q26" s="52">
        <v>44.29</v>
      </c>
    </row>
    <row r="27" spans="1:17" ht="15.75" thickBot="1">
      <c r="A27" s="53" t="s">
        <v>23</v>
      </c>
      <c r="B27" s="65">
        <v>34049</v>
      </c>
      <c r="C27" s="51">
        <v>44.11</v>
      </c>
      <c r="D27" s="65">
        <v>34055</v>
      </c>
      <c r="E27" s="52">
        <v>44.28</v>
      </c>
      <c r="F27" s="65">
        <v>34093</v>
      </c>
      <c r="G27" s="51">
        <v>44.33</v>
      </c>
      <c r="H27" s="65">
        <v>34044</v>
      </c>
      <c r="I27" s="52">
        <v>44.23</v>
      </c>
      <c r="J27" s="50">
        <v>34047</v>
      </c>
      <c r="K27" s="51">
        <v>44.23</v>
      </c>
      <c r="L27" s="52">
        <v>34042</v>
      </c>
      <c r="M27" s="52">
        <v>44.18</v>
      </c>
      <c r="N27" s="52">
        <v>34104</v>
      </c>
      <c r="O27" s="52">
        <v>43.95</v>
      </c>
      <c r="P27" s="52">
        <v>34094</v>
      </c>
      <c r="Q27" s="52">
        <v>44.65</v>
      </c>
    </row>
    <row r="28" spans="1:17" ht="15.75" thickBot="1">
      <c r="A28" s="54" t="s">
        <v>105</v>
      </c>
      <c r="B28" s="65">
        <v>34067</v>
      </c>
      <c r="C28" s="51">
        <v>43.81</v>
      </c>
      <c r="D28" s="65">
        <v>34073</v>
      </c>
      <c r="E28" s="52">
        <v>43.97</v>
      </c>
      <c r="F28" s="65">
        <v>34111</v>
      </c>
      <c r="G28" s="51">
        <v>44.02</v>
      </c>
      <c r="H28" s="65">
        <v>34062</v>
      </c>
      <c r="I28" s="52">
        <v>43.92</v>
      </c>
      <c r="J28" s="50">
        <v>34065</v>
      </c>
      <c r="K28" s="51">
        <v>43.92</v>
      </c>
      <c r="L28" s="52">
        <v>34060</v>
      </c>
      <c r="M28" s="52">
        <v>43.87</v>
      </c>
      <c r="N28" s="52">
        <v>34122</v>
      </c>
      <c r="O28" s="52">
        <v>43.64</v>
      </c>
      <c r="P28" s="52">
        <v>34112</v>
      </c>
      <c r="Q28" s="52">
        <v>44.34</v>
      </c>
    </row>
    <row r="29" spans="1:17" ht="15.75" thickBot="1">
      <c r="A29" s="54" t="s">
        <v>71</v>
      </c>
      <c r="B29" s="65">
        <v>34185</v>
      </c>
      <c r="C29" s="51">
        <v>46.46</v>
      </c>
      <c r="D29" s="65">
        <v>34191</v>
      </c>
      <c r="E29" s="52">
        <v>46.63</v>
      </c>
      <c r="F29" s="65">
        <v>34229</v>
      </c>
      <c r="G29" s="51">
        <v>46.68</v>
      </c>
      <c r="H29" s="65">
        <v>34180</v>
      </c>
      <c r="I29" s="52">
        <v>46.58</v>
      </c>
      <c r="J29" s="50">
        <v>34183</v>
      </c>
      <c r="K29" s="51">
        <v>46.58</v>
      </c>
      <c r="L29" s="52">
        <v>34178</v>
      </c>
      <c r="M29" s="52">
        <v>46.53</v>
      </c>
      <c r="N29" s="52">
        <v>34240</v>
      </c>
      <c r="O29" s="52">
        <v>46.3</v>
      </c>
      <c r="P29" s="52">
        <v>34230</v>
      </c>
      <c r="Q29" s="52">
        <v>47</v>
      </c>
    </row>
    <row r="30" spans="1:17" ht="15.75" thickBot="1">
      <c r="A30" s="55" t="s">
        <v>106</v>
      </c>
      <c r="B30" s="65">
        <v>33411</v>
      </c>
      <c r="C30" s="51">
        <v>44.62</v>
      </c>
      <c r="D30" s="65">
        <v>33417</v>
      </c>
      <c r="E30" s="52">
        <v>44.79</v>
      </c>
      <c r="F30" s="65">
        <v>33455</v>
      </c>
      <c r="G30" s="51">
        <v>44.84</v>
      </c>
      <c r="H30" s="65">
        <v>33406</v>
      </c>
      <c r="I30" s="52">
        <v>44.74</v>
      </c>
      <c r="J30" s="50">
        <v>33409</v>
      </c>
      <c r="K30" s="51">
        <v>44.74</v>
      </c>
      <c r="L30" s="52">
        <v>33404</v>
      </c>
      <c r="M30" s="52">
        <v>44.69</v>
      </c>
      <c r="N30" s="52">
        <v>33466</v>
      </c>
      <c r="O30" s="52">
        <v>44.46</v>
      </c>
      <c r="P30" s="52">
        <v>33456</v>
      </c>
      <c r="Q30" s="52">
        <v>45.16</v>
      </c>
    </row>
    <row r="31" spans="1:17" ht="15.75" thickBot="1">
      <c r="A31" s="54"/>
      <c r="B31" s="65"/>
      <c r="C31" s="51"/>
      <c r="D31" s="65"/>
      <c r="E31" s="52"/>
      <c r="F31" s="65"/>
      <c r="G31" s="51"/>
      <c r="H31" s="65"/>
      <c r="I31" s="52"/>
      <c r="J31" s="65"/>
      <c r="K31" s="51"/>
      <c r="L31" s="65"/>
      <c r="M31" s="52"/>
      <c r="N31" s="65"/>
      <c r="O31" s="52"/>
      <c r="P31" s="65"/>
      <c r="Q31" s="52"/>
    </row>
    <row r="32" spans="1:17" ht="15.75" thickBot="1">
      <c r="A32" s="55"/>
      <c r="B32" s="65"/>
      <c r="C32" s="51"/>
      <c r="D32" s="65"/>
      <c r="E32" s="52"/>
      <c r="F32" s="65"/>
      <c r="G32" s="51"/>
      <c r="H32" s="65"/>
      <c r="I32" s="52"/>
      <c r="J32" s="65"/>
      <c r="K32" s="51"/>
      <c r="L32" s="65"/>
      <c r="M32" s="52"/>
      <c r="N32" s="65"/>
      <c r="O32" s="52"/>
      <c r="P32" s="65"/>
      <c r="Q32" s="52"/>
    </row>
    <row r="37" spans="1:9" ht="15.75" thickBot="1">
      <c r="A37" s="50" t="s">
        <v>121</v>
      </c>
      <c r="B37" t="s">
        <v>122</v>
      </c>
      <c r="C37" t="s">
        <v>123</v>
      </c>
      <c r="D37" t="s">
        <v>128</v>
      </c>
      <c r="E37" t="s">
        <v>124</v>
      </c>
      <c r="F37" t="s">
        <v>125</v>
      </c>
      <c r="G37" t="s">
        <v>126</v>
      </c>
      <c r="H37" t="s">
        <v>127</v>
      </c>
      <c r="I37" t="s">
        <v>129</v>
      </c>
    </row>
    <row r="38" spans="1:9" ht="15.75" thickBot="1">
      <c r="A38" s="50" t="s">
        <v>18</v>
      </c>
      <c r="B38" s="56">
        <v>1</v>
      </c>
      <c r="C38" s="56">
        <v>1</v>
      </c>
      <c r="D38" s="57">
        <v>0</v>
      </c>
      <c r="E38" s="57">
        <v>1</v>
      </c>
      <c r="F38" s="57">
        <v>0</v>
      </c>
      <c r="G38" s="56">
        <v>1</v>
      </c>
      <c r="H38" s="56">
        <v>1</v>
      </c>
      <c r="I38" s="57">
        <v>0</v>
      </c>
    </row>
    <row r="39" spans="1:9" ht="15.75" thickBot="1">
      <c r="A39" s="50" t="s">
        <v>20</v>
      </c>
      <c r="B39" s="56">
        <v>1</v>
      </c>
      <c r="C39" s="56">
        <v>1</v>
      </c>
      <c r="D39" s="57">
        <v>0</v>
      </c>
      <c r="E39" s="57">
        <v>1</v>
      </c>
      <c r="F39" s="57">
        <v>0</v>
      </c>
      <c r="G39" s="56">
        <v>1</v>
      </c>
      <c r="H39" s="56">
        <v>1</v>
      </c>
      <c r="I39" s="57">
        <v>0</v>
      </c>
    </row>
    <row r="40" spans="1:9" ht="15.75" thickBot="1">
      <c r="A40" s="53" t="s">
        <v>23</v>
      </c>
      <c r="B40" s="56">
        <v>1</v>
      </c>
      <c r="C40" s="56">
        <v>1</v>
      </c>
      <c r="D40" s="57">
        <v>0</v>
      </c>
      <c r="E40" s="57">
        <v>1</v>
      </c>
      <c r="F40" s="57">
        <v>0</v>
      </c>
      <c r="G40" s="56">
        <v>1</v>
      </c>
      <c r="H40" s="56">
        <v>1</v>
      </c>
      <c r="I40" s="57">
        <v>0</v>
      </c>
    </row>
    <row r="41" spans="1:9" ht="15.75" thickBot="1">
      <c r="A41" s="54" t="s">
        <v>105</v>
      </c>
      <c r="B41" s="56">
        <v>1</v>
      </c>
      <c r="C41" s="56">
        <v>1</v>
      </c>
      <c r="D41" s="57">
        <v>0</v>
      </c>
      <c r="E41" s="57">
        <v>1</v>
      </c>
      <c r="F41" s="57">
        <v>0</v>
      </c>
      <c r="G41" s="56">
        <v>1</v>
      </c>
      <c r="H41" s="56">
        <v>1</v>
      </c>
      <c r="I41" s="57">
        <v>0</v>
      </c>
    </row>
    <row r="42" spans="1:9" ht="15.75" thickBot="1">
      <c r="A42" s="54" t="s">
        <v>119</v>
      </c>
      <c r="B42" s="56">
        <v>1</v>
      </c>
      <c r="C42" s="56">
        <v>1</v>
      </c>
      <c r="D42" s="57">
        <v>0</v>
      </c>
      <c r="E42" s="57">
        <v>1</v>
      </c>
      <c r="F42" s="57">
        <v>0</v>
      </c>
      <c r="G42" s="56">
        <v>1</v>
      </c>
      <c r="H42" s="56">
        <v>1</v>
      </c>
      <c r="I42" s="57">
        <v>0</v>
      </c>
    </row>
    <row r="43" spans="1:9" ht="15.75" thickBot="1">
      <c r="A43" s="54" t="s">
        <v>120</v>
      </c>
      <c r="B43" s="56">
        <v>1</v>
      </c>
      <c r="C43" s="56">
        <v>1</v>
      </c>
      <c r="D43" s="57">
        <v>0</v>
      </c>
      <c r="E43" s="57">
        <v>1</v>
      </c>
      <c r="F43" s="57">
        <v>0</v>
      </c>
      <c r="G43" s="56">
        <v>1</v>
      </c>
      <c r="H43" s="56">
        <v>1</v>
      </c>
      <c r="I43" s="57">
        <v>0</v>
      </c>
    </row>
    <row r="44" spans="1:9" ht="15.75" thickBot="1">
      <c r="A44" s="54" t="s">
        <v>71</v>
      </c>
      <c r="B44" s="56">
        <v>1</v>
      </c>
      <c r="C44" s="56">
        <v>1</v>
      </c>
      <c r="D44" s="57">
        <v>0</v>
      </c>
      <c r="E44" s="57">
        <v>1</v>
      </c>
      <c r="F44" s="57">
        <v>0</v>
      </c>
      <c r="G44" s="56">
        <v>1</v>
      </c>
      <c r="H44" s="56">
        <v>1</v>
      </c>
      <c r="I44" s="57">
        <v>0</v>
      </c>
    </row>
    <row r="45" spans="1:9" ht="15.75" thickBot="1">
      <c r="A45" s="55" t="s">
        <v>106</v>
      </c>
      <c r="B45" s="56">
        <v>1</v>
      </c>
      <c r="C45" s="56">
        <v>1</v>
      </c>
      <c r="D45" s="57">
        <v>0</v>
      </c>
      <c r="E45" s="57">
        <v>0</v>
      </c>
      <c r="F45" s="57">
        <v>0</v>
      </c>
      <c r="G45" s="56">
        <v>0</v>
      </c>
      <c r="H45" s="56">
        <v>0</v>
      </c>
      <c r="I45" s="57">
        <v>0</v>
      </c>
    </row>
    <row r="46" spans="1:9">
      <c r="A46" s="56"/>
      <c r="B46" s="56"/>
      <c r="C46" s="56"/>
      <c r="D46" s="57"/>
      <c r="E46" s="57"/>
      <c r="F46" s="57"/>
      <c r="G46" s="56"/>
      <c r="H46" s="56"/>
      <c r="I46" s="57"/>
    </row>
    <row r="47" spans="1:9">
      <c r="A47" s="56"/>
      <c r="B47" s="56"/>
      <c r="C47" s="56"/>
      <c r="D47" s="57"/>
      <c r="E47" s="57"/>
      <c r="F47" s="57"/>
      <c r="G47" s="56"/>
      <c r="H47" s="56"/>
      <c r="I47" s="57"/>
    </row>
    <row r="48" spans="1:9">
      <c r="A48" s="56"/>
      <c r="B48" s="56"/>
      <c r="C48" s="56"/>
      <c r="D48" s="57"/>
      <c r="E48" s="57"/>
      <c r="F48" s="57"/>
      <c r="G48" s="56"/>
      <c r="H48" s="56"/>
      <c r="I48" s="57"/>
    </row>
    <row r="50" spans="1:10">
      <c r="A50" s="56" t="s">
        <v>131</v>
      </c>
      <c r="B50" s="56">
        <v>1</v>
      </c>
      <c r="C50" s="56">
        <v>1</v>
      </c>
      <c r="D50" s="57">
        <v>0</v>
      </c>
      <c r="E50" s="57">
        <v>1</v>
      </c>
      <c r="F50" s="56">
        <v>0</v>
      </c>
      <c r="G50" s="56">
        <v>1</v>
      </c>
      <c r="H50" s="56">
        <v>1</v>
      </c>
      <c r="I50" s="57">
        <v>0</v>
      </c>
      <c r="J50" t="str">
        <f>CONCATENATE(SUM(B50:D50),"/",SUM(E50:I50))</f>
        <v>2/3</v>
      </c>
    </row>
    <row r="51" spans="1:10">
      <c r="A51" t="s">
        <v>132</v>
      </c>
      <c r="B51" s="56">
        <v>1</v>
      </c>
      <c r="C51" s="56">
        <v>1</v>
      </c>
      <c r="D51" s="56">
        <v>1</v>
      </c>
      <c r="E51" s="56">
        <v>1</v>
      </c>
      <c r="F51" s="56">
        <v>1</v>
      </c>
      <c r="G51" s="56">
        <v>0</v>
      </c>
      <c r="H51" s="56">
        <v>0</v>
      </c>
      <c r="I51" s="56">
        <v>0</v>
      </c>
      <c r="J51" t="str">
        <f>CONCATENATE(SUM(B51:D51),"/",SUM(E51:I51))</f>
        <v>3/2</v>
      </c>
    </row>
    <row r="52" spans="1:10">
      <c r="A52" t="s">
        <v>134</v>
      </c>
      <c r="B52">
        <v>85</v>
      </c>
      <c r="C52">
        <v>85</v>
      </c>
      <c r="D52">
        <v>85</v>
      </c>
      <c r="E52">
        <v>75</v>
      </c>
      <c r="F52">
        <v>75</v>
      </c>
      <c r="G52">
        <v>75</v>
      </c>
      <c r="H52">
        <v>75</v>
      </c>
      <c r="I52">
        <v>75</v>
      </c>
    </row>
    <row r="53" spans="1:10">
      <c r="A53" t="s">
        <v>133</v>
      </c>
      <c r="B53">
        <v>-2.1239999999999998E-2</v>
      </c>
      <c r="C53">
        <v>-2.1239999999999998E-2</v>
      </c>
      <c r="D53">
        <v>-2.0310000000000002E-2</v>
      </c>
      <c r="E53">
        <v>-1.7600000000000001E-2</v>
      </c>
      <c r="F53">
        <v>-1.7600000000000001E-2</v>
      </c>
      <c r="G53">
        <v>1.934E-2</v>
      </c>
      <c r="H53">
        <v>1.9050000000000001E-2</v>
      </c>
      <c r="I53">
        <v>1.7520000000000001E-2</v>
      </c>
    </row>
  </sheetData>
  <mergeCells count="3">
    <mergeCell ref="H5:H7"/>
    <mergeCell ref="H2:H4"/>
    <mergeCell ref="N3:Q7"/>
  </mergeCells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1"/>
  <dimension ref="A1:AW70"/>
  <sheetViews>
    <sheetView topLeftCell="A32" zoomScale="85" zoomScaleNormal="85" workbookViewId="0">
      <selection activeCell="E14" sqref="E14:I14"/>
    </sheetView>
  </sheetViews>
  <sheetFormatPr baseColWidth="10" defaultColWidth="3.5703125" defaultRowHeight="15"/>
  <cols>
    <col min="31" max="31" width="5" customWidth="1"/>
    <col min="47" max="47" width="9.5703125" customWidth="1"/>
  </cols>
  <sheetData>
    <row r="1" spans="1:47" ht="15.75" thickBot="1">
      <c r="A1" s="268"/>
      <c r="B1" s="140"/>
      <c r="C1" s="140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54"/>
      <c r="Z1" s="154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89"/>
    </row>
    <row r="2" spans="1:47" ht="15.75" thickBot="1">
      <c r="A2" s="143" t="s">
        <v>0</v>
      </c>
      <c r="B2" s="133"/>
      <c r="C2" s="133"/>
      <c r="D2" s="163" t="s">
        <v>1</v>
      </c>
      <c r="E2" s="163"/>
      <c r="F2" s="163"/>
      <c r="G2" s="190"/>
      <c r="H2" s="197"/>
      <c r="I2" s="198"/>
      <c r="J2" s="198"/>
      <c r="K2" s="198"/>
      <c r="L2" s="198"/>
      <c r="M2" s="198"/>
      <c r="N2" s="198"/>
      <c r="O2" s="198"/>
      <c r="P2" s="198"/>
      <c r="Q2" s="199"/>
      <c r="R2" s="281" t="s">
        <v>2</v>
      </c>
      <c r="S2" s="165"/>
      <c r="T2" s="165"/>
      <c r="U2" s="165"/>
      <c r="V2" s="165"/>
      <c r="W2" s="166"/>
      <c r="X2" s="128"/>
      <c r="Y2" s="129"/>
      <c r="Z2" s="129"/>
      <c r="AA2" s="130"/>
      <c r="AB2" s="162" t="s">
        <v>3</v>
      </c>
      <c r="AC2" s="163"/>
      <c r="AD2" s="163"/>
      <c r="AE2" s="190"/>
      <c r="AF2" s="197"/>
      <c r="AG2" s="198"/>
      <c r="AH2" s="198"/>
      <c r="AI2" s="198"/>
      <c r="AJ2" s="199"/>
      <c r="AK2" s="162" t="s">
        <v>4</v>
      </c>
      <c r="AL2" s="163"/>
      <c r="AM2" s="163"/>
      <c r="AN2" s="163"/>
      <c r="AO2" s="163"/>
      <c r="AP2" s="163"/>
      <c r="AQ2" s="163"/>
      <c r="AR2" s="190"/>
      <c r="AS2" s="125"/>
      <c r="AT2" s="126"/>
      <c r="AU2" s="127"/>
    </row>
    <row r="3" spans="1:47" ht="15.75" thickBot="1">
      <c r="A3" s="143"/>
      <c r="B3" s="133"/>
      <c r="C3" s="133"/>
      <c r="D3" s="163" t="s">
        <v>5</v>
      </c>
      <c r="E3" s="163"/>
      <c r="F3" s="163"/>
      <c r="G3" s="190"/>
      <c r="H3" s="197"/>
      <c r="I3" s="198"/>
      <c r="J3" s="198"/>
      <c r="K3" s="198"/>
      <c r="L3" s="198"/>
      <c r="M3" s="198"/>
      <c r="N3" s="198"/>
      <c r="O3" s="198"/>
      <c r="P3" s="198"/>
      <c r="Q3" s="199"/>
      <c r="R3" s="162" t="s">
        <v>6</v>
      </c>
      <c r="S3" s="163"/>
      <c r="T3" s="163"/>
      <c r="U3" s="163"/>
      <c r="V3" s="163"/>
      <c r="W3" s="190"/>
      <c r="X3" s="128"/>
      <c r="Y3" s="129"/>
      <c r="Z3" s="129"/>
      <c r="AA3" s="130"/>
      <c r="AB3" s="162" t="s">
        <v>7</v>
      </c>
      <c r="AC3" s="163"/>
      <c r="AD3" s="163"/>
      <c r="AE3" s="190"/>
      <c r="AF3" s="136"/>
      <c r="AG3" s="137"/>
      <c r="AH3" s="137"/>
      <c r="AI3" s="137"/>
      <c r="AJ3" s="138"/>
      <c r="AK3" s="162" t="s">
        <v>8</v>
      </c>
      <c r="AL3" s="163"/>
      <c r="AM3" s="163"/>
      <c r="AN3" s="163"/>
      <c r="AO3" s="163"/>
      <c r="AP3" s="163"/>
      <c r="AQ3" s="163"/>
      <c r="AR3" s="190"/>
      <c r="AS3" s="125"/>
      <c r="AT3" s="126"/>
      <c r="AU3" s="127"/>
    </row>
    <row r="4" spans="1:47" ht="15.75" thickBot="1">
      <c r="A4" s="309"/>
      <c r="B4" s="118"/>
      <c r="C4" s="118"/>
      <c r="D4" s="118"/>
      <c r="E4" s="118"/>
      <c r="F4" s="118"/>
      <c r="G4" s="118"/>
      <c r="H4" s="118"/>
      <c r="I4" s="310"/>
      <c r="J4" s="310"/>
      <c r="K4" s="310"/>
      <c r="L4" s="310"/>
      <c r="M4" s="310"/>
      <c r="N4" s="310"/>
      <c r="O4" s="310"/>
      <c r="P4" s="310"/>
      <c r="Q4" s="310"/>
      <c r="R4" s="159"/>
      <c r="S4" s="159"/>
      <c r="T4" s="159"/>
      <c r="U4" s="159"/>
      <c r="V4" s="159"/>
      <c r="W4" s="159"/>
      <c r="X4" s="212"/>
      <c r="Y4" s="212"/>
      <c r="Z4" s="212"/>
      <c r="AA4" s="212"/>
      <c r="AB4" s="159"/>
      <c r="AC4" s="159"/>
      <c r="AD4" s="159"/>
      <c r="AE4" s="159"/>
      <c r="AF4" s="159"/>
      <c r="AG4" s="311"/>
      <c r="AH4" s="311"/>
      <c r="AI4" s="311"/>
      <c r="AJ4" s="311"/>
      <c r="AK4" s="311"/>
      <c r="AL4" s="118"/>
      <c r="AM4" s="118"/>
      <c r="AN4" s="118"/>
      <c r="AO4" s="118"/>
      <c r="AP4" s="118"/>
      <c r="AQ4" s="118"/>
      <c r="AR4" s="118"/>
      <c r="AS4" s="118"/>
      <c r="AT4" s="118"/>
      <c r="AU4" s="1"/>
    </row>
    <row r="5" spans="1:47" ht="15.75" thickBot="1">
      <c r="A5" s="154"/>
      <c r="B5" s="154"/>
      <c r="C5" s="154"/>
      <c r="D5" s="154"/>
      <c r="E5" s="154"/>
      <c r="F5" s="154"/>
      <c r="G5" s="154"/>
      <c r="H5" s="154"/>
      <c r="I5" s="154"/>
      <c r="J5" s="154"/>
      <c r="K5" s="154"/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  <c r="AB5" s="154"/>
      <c r="AC5" s="154"/>
      <c r="AD5" s="154"/>
      <c r="AE5" s="154"/>
      <c r="AF5" s="154"/>
      <c r="AG5" s="154"/>
      <c r="AH5" s="154"/>
      <c r="AI5" s="154"/>
      <c r="AJ5" s="154"/>
      <c r="AK5" s="154"/>
      <c r="AL5" s="154"/>
      <c r="AM5" s="154"/>
      <c r="AN5" s="154"/>
      <c r="AO5" s="154"/>
      <c r="AP5" s="154"/>
      <c r="AQ5" s="154"/>
      <c r="AR5" s="154"/>
      <c r="AS5" s="154"/>
      <c r="AT5" s="154"/>
      <c r="AU5" s="154"/>
    </row>
    <row r="6" spans="1:47" ht="15.75" thickBot="1">
      <c r="A6" s="268"/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68"/>
      <c r="Q6" s="168"/>
      <c r="R6" s="168"/>
      <c r="S6" s="168"/>
      <c r="T6" s="168"/>
      <c r="U6" s="168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212"/>
      <c r="AG6" s="212"/>
      <c r="AH6" s="308"/>
      <c r="AI6" s="308"/>
      <c r="AJ6" s="308"/>
      <c r="AK6" s="308"/>
      <c r="AL6" s="308"/>
      <c r="AM6" s="168"/>
      <c r="AN6" s="168"/>
      <c r="AO6" s="168"/>
      <c r="AP6" s="168"/>
      <c r="AQ6" s="168"/>
      <c r="AR6" s="168"/>
      <c r="AS6" s="168"/>
      <c r="AT6" s="154"/>
      <c r="AU6" s="121"/>
    </row>
    <row r="7" spans="1:47" ht="15.75" thickBot="1">
      <c r="A7" s="131" t="s">
        <v>72</v>
      </c>
      <c r="B7" s="132"/>
      <c r="C7" s="132"/>
      <c r="D7" s="132"/>
      <c r="E7" s="132" t="s">
        <v>71</v>
      </c>
      <c r="F7" s="132"/>
      <c r="G7" s="132"/>
      <c r="H7" s="132"/>
      <c r="I7" s="132"/>
      <c r="J7" s="132"/>
      <c r="K7" s="132"/>
      <c r="L7" s="132"/>
      <c r="M7" s="132"/>
      <c r="N7" s="132"/>
      <c r="O7" s="156"/>
      <c r="P7" s="170" t="s">
        <v>9</v>
      </c>
      <c r="Q7" s="171"/>
      <c r="R7" s="171"/>
      <c r="S7" s="171"/>
      <c r="T7" s="171"/>
      <c r="U7" s="172"/>
      <c r="V7" s="257">
        <v>34010</v>
      </c>
      <c r="W7" s="258"/>
      <c r="X7" s="258"/>
      <c r="Y7" s="258"/>
      <c r="Z7" s="258"/>
      <c r="AA7" s="258"/>
      <c r="AB7" s="258"/>
      <c r="AC7" s="258"/>
      <c r="AD7" s="258"/>
      <c r="AE7" s="258"/>
      <c r="AF7" s="258"/>
      <c r="AG7" s="259"/>
      <c r="AH7" s="220"/>
      <c r="AI7" s="221"/>
      <c r="AJ7" s="221"/>
      <c r="AK7" s="221"/>
      <c r="AL7" s="260"/>
      <c r="AM7" s="170" t="s">
        <v>11</v>
      </c>
      <c r="AN7" s="171"/>
      <c r="AO7" s="171"/>
      <c r="AP7" s="171"/>
      <c r="AQ7" s="171"/>
      <c r="AR7" s="171"/>
      <c r="AS7" s="172"/>
      <c r="AT7" s="303">
        <v>46.72</v>
      </c>
      <c r="AU7" s="305"/>
    </row>
    <row r="8" spans="1:47">
      <c r="A8" s="253">
        <v>84</v>
      </c>
      <c r="B8" s="254"/>
      <c r="C8" s="254"/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2"/>
      <c r="P8" s="252"/>
      <c r="Q8" s="252"/>
      <c r="R8" s="252"/>
      <c r="S8" s="252"/>
      <c r="T8" s="252"/>
      <c r="U8" s="252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32"/>
      <c r="AI8" s="132"/>
      <c r="AJ8" s="132"/>
      <c r="AK8" s="132"/>
      <c r="AL8" s="132"/>
      <c r="AM8" s="140"/>
      <c r="AN8" s="140"/>
      <c r="AO8" s="140"/>
      <c r="AP8" s="140"/>
      <c r="AQ8" s="140"/>
      <c r="AR8" s="140"/>
      <c r="AS8" s="140"/>
      <c r="AT8" s="255"/>
      <c r="AU8" s="256"/>
    </row>
    <row r="9" spans="1:47">
      <c r="A9" s="131"/>
      <c r="B9" s="132"/>
      <c r="C9" s="132"/>
      <c r="D9" s="132"/>
      <c r="E9" s="132"/>
      <c r="F9" s="132"/>
      <c r="G9" s="132"/>
      <c r="H9" s="132"/>
      <c r="I9" s="132"/>
      <c r="J9" s="132"/>
      <c r="K9" s="132"/>
      <c r="L9" s="132"/>
      <c r="M9" s="132"/>
      <c r="N9" s="132"/>
      <c r="O9" s="132"/>
      <c r="P9" s="132"/>
      <c r="Q9" s="132"/>
      <c r="R9" s="132"/>
      <c r="S9" s="252"/>
      <c r="T9" s="252"/>
      <c r="U9" s="252"/>
      <c r="V9" s="132"/>
      <c r="W9" s="132"/>
      <c r="X9" s="132"/>
      <c r="Y9" s="132"/>
      <c r="Z9" s="132"/>
      <c r="AA9" s="132"/>
      <c r="AB9" s="132"/>
      <c r="AC9" s="132"/>
      <c r="AD9" s="132"/>
      <c r="AE9" s="132"/>
      <c r="AF9" s="132"/>
      <c r="AG9" s="132"/>
      <c r="AH9" s="133"/>
      <c r="AI9" s="133"/>
      <c r="AJ9" s="133"/>
      <c r="AK9" s="133"/>
      <c r="AL9" s="133"/>
      <c r="AM9" s="132"/>
      <c r="AN9" s="132"/>
      <c r="AO9" s="132"/>
      <c r="AP9" s="132"/>
      <c r="AQ9" s="132"/>
      <c r="AR9" s="132"/>
      <c r="AS9" s="132"/>
      <c r="AT9" s="132"/>
      <c r="AU9" s="156"/>
    </row>
    <row r="10" spans="1:47" ht="15.75" thickBot="1">
      <c r="A10" s="206" t="s">
        <v>12</v>
      </c>
      <c r="B10" s="188"/>
      <c r="C10" s="188"/>
      <c r="D10" s="188"/>
      <c r="E10" s="184" t="s">
        <v>13</v>
      </c>
      <c r="F10" s="184"/>
      <c r="G10" s="184"/>
      <c r="H10" s="184"/>
      <c r="I10" s="184"/>
      <c r="J10" s="184" t="s">
        <v>14</v>
      </c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8"/>
      <c r="W10" s="188"/>
      <c r="X10" s="188"/>
      <c r="Y10" s="188"/>
      <c r="Z10" s="165" t="s">
        <v>15</v>
      </c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84" t="s">
        <v>13</v>
      </c>
      <c r="AN10" s="184"/>
      <c r="AO10" s="184"/>
      <c r="AP10" s="184"/>
      <c r="AQ10" s="184"/>
      <c r="AR10" s="184"/>
      <c r="AS10" s="184"/>
      <c r="AT10" s="184" t="s">
        <v>16</v>
      </c>
      <c r="AU10" s="231"/>
    </row>
    <row r="11" spans="1:47" ht="15.75" thickBot="1">
      <c r="A11" s="167" t="s">
        <v>98</v>
      </c>
      <c r="B11" s="168"/>
      <c r="C11" s="168"/>
      <c r="D11" s="169"/>
      <c r="E11" s="293">
        <v>0</v>
      </c>
      <c r="F11" s="294"/>
      <c r="G11" s="294"/>
      <c r="H11" s="294"/>
      <c r="I11" s="295"/>
      <c r="J11" s="125">
        <f>E11*84</f>
        <v>0</v>
      </c>
      <c r="K11" s="126"/>
      <c r="L11" s="126"/>
      <c r="M11" s="126"/>
      <c r="N11" s="126"/>
      <c r="O11" s="126"/>
      <c r="P11" s="126"/>
      <c r="Q11" s="126"/>
      <c r="R11" s="126"/>
      <c r="S11" s="126"/>
      <c r="T11" s="126"/>
      <c r="U11" s="127"/>
      <c r="V11" s="206"/>
      <c r="W11" s="188"/>
      <c r="X11" s="188"/>
      <c r="Y11" s="188"/>
      <c r="Z11" s="188"/>
      <c r="AA11" s="188"/>
      <c r="AB11" s="188"/>
      <c r="AC11" s="188"/>
      <c r="AD11" s="188"/>
      <c r="AE11" s="188"/>
      <c r="AF11" s="188"/>
      <c r="AG11" s="188"/>
      <c r="AH11" s="188"/>
      <c r="AI11" s="188"/>
      <c r="AJ11" s="188"/>
      <c r="AK11" s="188"/>
      <c r="AL11" s="188"/>
      <c r="AM11" s="206"/>
      <c r="AN11" s="188"/>
      <c r="AO11" s="188"/>
      <c r="AP11" s="188"/>
      <c r="AQ11" s="188"/>
      <c r="AR11" s="188"/>
      <c r="AS11" s="188"/>
      <c r="AT11" s="188"/>
      <c r="AU11" s="188"/>
    </row>
    <row r="12" spans="1:47" ht="15.75" thickBot="1">
      <c r="A12" s="298" t="s">
        <v>97</v>
      </c>
      <c r="B12" s="299"/>
      <c r="C12" s="299"/>
      <c r="D12" s="300"/>
      <c r="E12" s="290">
        <v>5</v>
      </c>
      <c r="F12" s="291"/>
      <c r="G12" s="291"/>
      <c r="H12" s="291"/>
      <c r="I12" s="292"/>
      <c r="J12" s="284">
        <f>E12*88</f>
        <v>440</v>
      </c>
      <c r="K12" s="285"/>
      <c r="L12" s="285"/>
      <c r="M12" s="285"/>
      <c r="N12" s="285"/>
      <c r="O12" s="285"/>
      <c r="P12" s="285"/>
      <c r="Q12" s="285"/>
      <c r="R12" s="285"/>
      <c r="S12" s="285"/>
      <c r="T12" s="285"/>
      <c r="U12" s="286"/>
      <c r="V12" s="206"/>
      <c r="W12" s="188"/>
      <c r="X12" s="188"/>
      <c r="Y12" s="188"/>
      <c r="Z12" s="188"/>
      <c r="AA12" s="188"/>
      <c r="AB12" s="188"/>
      <c r="AC12" s="188"/>
      <c r="AD12" s="188"/>
      <c r="AE12" s="188"/>
      <c r="AF12" s="188"/>
      <c r="AG12" s="188"/>
      <c r="AH12" s="188"/>
      <c r="AI12" s="188"/>
      <c r="AJ12" s="188"/>
      <c r="AK12" s="188"/>
      <c r="AL12" s="188"/>
      <c r="AM12" s="206"/>
      <c r="AN12" s="188"/>
      <c r="AO12" s="188"/>
      <c r="AP12" s="188"/>
      <c r="AQ12" s="188"/>
      <c r="AR12" s="188"/>
      <c r="AS12" s="188"/>
      <c r="AT12" s="188"/>
      <c r="AU12" s="188"/>
    </row>
    <row r="13" spans="1:47" ht="15.75" thickBot="1">
      <c r="A13" s="298" t="s">
        <v>96</v>
      </c>
      <c r="B13" s="299"/>
      <c r="C13" s="299"/>
      <c r="D13" s="300"/>
      <c r="E13" s="290">
        <v>15</v>
      </c>
      <c r="F13" s="291"/>
      <c r="G13" s="291"/>
      <c r="H13" s="291"/>
      <c r="I13" s="292"/>
      <c r="J13" s="284">
        <f>E13*70</f>
        <v>1050</v>
      </c>
      <c r="K13" s="285"/>
      <c r="L13" s="285"/>
      <c r="M13" s="285"/>
      <c r="N13" s="285"/>
      <c r="O13" s="285"/>
      <c r="P13" s="285"/>
      <c r="Q13" s="285"/>
      <c r="R13" s="285"/>
      <c r="S13" s="285"/>
      <c r="T13" s="285"/>
      <c r="U13" s="286"/>
      <c r="V13" s="206"/>
      <c r="W13" s="188"/>
      <c r="X13" s="188"/>
      <c r="Y13" s="188"/>
      <c r="Z13" s="188"/>
      <c r="AA13" s="188"/>
      <c r="AB13" s="180" t="s">
        <v>103</v>
      </c>
      <c r="AC13" s="180"/>
      <c r="AD13" s="180"/>
      <c r="AE13" s="32">
        <f>E13/(E12+E13)</f>
        <v>0.75</v>
      </c>
      <c r="AF13" s="188"/>
      <c r="AG13" s="188"/>
      <c r="AH13" s="188"/>
      <c r="AI13" s="188"/>
      <c r="AJ13" s="188"/>
      <c r="AK13" s="188"/>
      <c r="AL13" s="246"/>
      <c r="AM13" s="206"/>
      <c r="AN13" s="188"/>
      <c r="AO13" s="188"/>
      <c r="AP13" s="188"/>
      <c r="AQ13" s="188"/>
      <c r="AR13" s="188"/>
      <c r="AS13" s="188"/>
      <c r="AT13" s="188"/>
      <c r="AU13" s="188"/>
    </row>
    <row r="14" spans="1:47" ht="15.75" thickBot="1">
      <c r="A14" s="185" t="s">
        <v>95</v>
      </c>
      <c r="B14" s="186"/>
      <c r="C14" s="186"/>
      <c r="D14" s="187"/>
      <c r="E14" s="293">
        <v>0</v>
      </c>
      <c r="F14" s="294"/>
      <c r="G14" s="294"/>
      <c r="H14" s="294"/>
      <c r="I14" s="295"/>
      <c r="J14" s="125">
        <f>E14*76</f>
        <v>0</v>
      </c>
      <c r="K14" s="126"/>
      <c r="L14" s="126"/>
      <c r="M14" s="126"/>
      <c r="N14" s="126"/>
      <c r="O14" s="126"/>
      <c r="P14" s="126"/>
      <c r="Q14" s="126"/>
      <c r="R14" s="126"/>
      <c r="S14" s="126"/>
      <c r="T14" s="126"/>
      <c r="U14" s="127"/>
      <c r="V14" s="206"/>
      <c r="W14" s="188"/>
      <c r="X14" s="188"/>
      <c r="Y14" s="188"/>
      <c r="Z14" s="188"/>
      <c r="AA14" s="188"/>
      <c r="AB14" s="188"/>
      <c r="AC14" s="188"/>
      <c r="AD14" s="188"/>
      <c r="AE14" s="188"/>
      <c r="AF14" s="188"/>
      <c r="AG14" s="188"/>
      <c r="AH14" s="188"/>
      <c r="AI14" s="188"/>
      <c r="AJ14" s="188"/>
      <c r="AK14" s="188"/>
      <c r="AL14" s="188"/>
      <c r="AM14" s="206"/>
      <c r="AN14" s="188"/>
      <c r="AO14" s="188"/>
      <c r="AP14" s="188"/>
      <c r="AQ14" s="188"/>
      <c r="AR14" s="188"/>
      <c r="AS14" s="188"/>
      <c r="AT14" s="188"/>
      <c r="AU14" s="188"/>
    </row>
    <row r="15" spans="1:47" ht="15.75" thickBot="1">
      <c r="A15" s="298" t="s">
        <v>94</v>
      </c>
      <c r="B15" s="299"/>
      <c r="C15" s="299"/>
      <c r="D15" s="300"/>
      <c r="E15" s="290">
        <v>0</v>
      </c>
      <c r="F15" s="291"/>
      <c r="G15" s="291"/>
      <c r="H15" s="291"/>
      <c r="I15" s="292"/>
      <c r="J15" s="284">
        <f>E15*83</f>
        <v>0</v>
      </c>
      <c r="K15" s="285"/>
      <c r="L15" s="285"/>
      <c r="M15" s="285"/>
      <c r="N15" s="285"/>
      <c r="O15" s="285"/>
      <c r="P15" s="285"/>
      <c r="Q15" s="285"/>
      <c r="R15" s="285"/>
      <c r="S15" s="285"/>
      <c r="T15" s="285"/>
      <c r="U15" s="286"/>
      <c r="V15" s="206"/>
      <c r="W15" s="188"/>
      <c r="X15" s="188"/>
      <c r="Y15" s="188"/>
      <c r="Z15" s="188"/>
      <c r="AA15" s="188"/>
      <c r="AB15" s="180" t="s">
        <v>103</v>
      </c>
      <c r="AC15" s="180"/>
      <c r="AD15" s="180"/>
      <c r="AE15" s="32" t="e">
        <f>E16/(E16+E15)</f>
        <v>#DIV/0!</v>
      </c>
      <c r="AF15" s="188"/>
      <c r="AG15" s="188"/>
      <c r="AH15" s="188"/>
      <c r="AI15" s="188"/>
      <c r="AJ15" s="188"/>
      <c r="AK15" s="188"/>
      <c r="AL15" s="246"/>
      <c r="AM15" s="206"/>
      <c r="AN15" s="188"/>
      <c r="AO15" s="188"/>
      <c r="AP15" s="188"/>
      <c r="AQ15" s="188"/>
      <c r="AR15" s="188"/>
      <c r="AS15" s="188"/>
      <c r="AT15" s="188"/>
      <c r="AU15" s="188"/>
    </row>
    <row r="16" spans="1:47" ht="15.75" thickBot="1">
      <c r="A16" s="298" t="s">
        <v>93</v>
      </c>
      <c r="B16" s="299"/>
      <c r="C16" s="299"/>
      <c r="D16" s="300"/>
      <c r="E16" s="290">
        <v>0</v>
      </c>
      <c r="F16" s="291"/>
      <c r="G16" s="291"/>
      <c r="H16" s="291"/>
      <c r="I16" s="292"/>
      <c r="J16" s="284">
        <f>E16*69</f>
        <v>0</v>
      </c>
      <c r="K16" s="285"/>
      <c r="L16" s="285"/>
      <c r="M16" s="285"/>
      <c r="N16" s="285"/>
      <c r="O16" s="285"/>
      <c r="P16" s="285"/>
      <c r="Q16" s="285"/>
      <c r="R16" s="285"/>
      <c r="S16" s="285"/>
      <c r="T16" s="285"/>
      <c r="U16" s="286"/>
      <c r="V16" s="287" t="s">
        <v>100</v>
      </c>
      <c r="W16" s="288"/>
      <c r="X16" s="288"/>
      <c r="Y16" s="288"/>
      <c r="Z16" s="288"/>
      <c r="AA16" s="288"/>
      <c r="AB16" s="288"/>
      <c r="AC16" s="288"/>
      <c r="AD16" s="288"/>
      <c r="AE16" s="288"/>
      <c r="AF16" s="288"/>
      <c r="AG16" s="288"/>
      <c r="AH16" s="288"/>
      <c r="AI16" s="288"/>
      <c r="AJ16" s="288"/>
      <c r="AK16" s="288"/>
      <c r="AL16" s="289"/>
      <c r="AM16" s="206"/>
      <c r="AN16" s="188"/>
      <c r="AO16" s="188"/>
      <c r="AP16" s="188"/>
      <c r="AQ16" s="188"/>
      <c r="AR16" s="188"/>
      <c r="AS16" s="188"/>
      <c r="AT16" s="188"/>
      <c r="AU16" s="188"/>
    </row>
    <row r="17" spans="1:47" ht="15.75" thickBot="1">
      <c r="A17" s="185" t="s">
        <v>17</v>
      </c>
      <c r="B17" s="186"/>
      <c r="C17" s="186"/>
      <c r="D17" s="187"/>
      <c r="E17" s="293">
        <v>65</v>
      </c>
      <c r="F17" s="294"/>
      <c r="G17" s="294"/>
      <c r="H17" s="294"/>
      <c r="I17" s="295"/>
      <c r="J17" s="125">
        <f>E17*A8</f>
        <v>5460</v>
      </c>
      <c r="K17" s="126"/>
      <c r="L17" s="126"/>
      <c r="M17" s="126"/>
      <c r="N17" s="126"/>
      <c r="O17" s="126"/>
      <c r="P17" s="126"/>
      <c r="Q17" s="126"/>
      <c r="R17" s="126"/>
      <c r="S17" s="126"/>
      <c r="T17" s="126"/>
      <c r="U17" s="127"/>
      <c r="V17" s="181">
        <f>V20/(E20-E19)</f>
        <v>79.662921348314612</v>
      </c>
      <c r="W17" s="182"/>
      <c r="X17" s="182"/>
      <c r="Y17" s="182"/>
      <c r="Z17" s="132"/>
      <c r="AA17" s="132"/>
      <c r="AB17" s="132"/>
      <c r="AC17" s="132"/>
      <c r="AD17" s="132"/>
      <c r="AE17" s="132"/>
      <c r="AF17" s="132"/>
      <c r="AG17" s="132"/>
      <c r="AH17" s="165" t="s">
        <v>18</v>
      </c>
      <c r="AI17" s="165"/>
      <c r="AJ17" s="165"/>
      <c r="AK17" s="165"/>
      <c r="AL17" s="166"/>
      <c r="AM17" s="303">
        <v>30</v>
      </c>
      <c r="AN17" s="304"/>
      <c r="AO17" s="304"/>
      <c r="AP17" s="304"/>
      <c r="AQ17" s="304"/>
      <c r="AR17" s="304"/>
      <c r="AS17" s="305"/>
      <c r="AT17" s="214">
        <f>AM17*V17*Pax!J2</f>
        <v>-22.751730337078655</v>
      </c>
      <c r="AU17" s="215"/>
    </row>
    <row r="18" spans="1:47" ht="15.75" thickBot="1">
      <c r="A18" s="167" t="s">
        <v>19</v>
      </c>
      <c r="B18" s="168"/>
      <c r="C18" s="168"/>
      <c r="D18" s="169"/>
      <c r="E18" s="293">
        <v>4</v>
      </c>
      <c r="F18" s="294"/>
      <c r="G18" s="294"/>
      <c r="H18" s="294"/>
      <c r="I18" s="295"/>
      <c r="J18" s="125">
        <f>E18*35</f>
        <v>140</v>
      </c>
      <c r="K18" s="126"/>
      <c r="L18" s="126"/>
      <c r="M18" s="126"/>
      <c r="N18" s="126"/>
      <c r="O18" s="126"/>
      <c r="P18" s="126"/>
      <c r="Q18" s="126"/>
      <c r="R18" s="126"/>
      <c r="S18" s="126"/>
      <c r="T18" s="126"/>
      <c r="U18" s="127"/>
      <c r="V18" s="181"/>
      <c r="W18" s="182"/>
      <c r="X18" s="182"/>
      <c r="Y18" s="182"/>
      <c r="Z18" s="132"/>
      <c r="AA18" s="132"/>
      <c r="AB18" s="132"/>
      <c r="AC18" s="132"/>
      <c r="AD18" s="132"/>
      <c r="AE18" s="132"/>
      <c r="AF18" s="132"/>
      <c r="AG18" s="132"/>
      <c r="AH18" s="165" t="s">
        <v>20</v>
      </c>
      <c r="AI18" s="165"/>
      <c r="AJ18" s="165"/>
      <c r="AK18" s="165"/>
      <c r="AL18" s="166"/>
      <c r="AM18" s="303">
        <v>42</v>
      </c>
      <c r="AN18" s="304"/>
      <c r="AO18" s="304"/>
      <c r="AP18" s="304"/>
      <c r="AQ18" s="304"/>
      <c r="AR18" s="304"/>
      <c r="AS18" s="305"/>
      <c r="AT18" s="214">
        <f>AM18*V17*Pax!J12</f>
        <v>6.9258943820224719</v>
      </c>
      <c r="AU18" s="215"/>
    </row>
    <row r="19" spans="1:47" ht="15.75" thickBot="1">
      <c r="A19" s="167" t="s">
        <v>21</v>
      </c>
      <c r="B19" s="168"/>
      <c r="C19" s="168"/>
      <c r="D19" s="169"/>
      <c r="E19" s="293">
        <v>0</v>
      </c>
      <c r="F19" s="294"/>
      <c r="G19" s="294"/>
      <c r="H19" s="294"/>
      <c r="I19" s="295"/>
      <c r="J19" s="170" t="s">
        <v>22</v>
      </c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2"/>
      <c r="V19" s="307"/>
      <c r="W19" s="245"/>
      <c r="X19" s="245"/>
      <c r="Y19" s="245"/>
      <c r="Z19" s="117"/>
      <c r="AA19" s="117"/>
      <c r="AB19" s="117"/>
      <c r="AC19" s="117"/>
      <c r="AD19" s="117"/>
      <c r="AE19" s="117"/>
      <c r="AF19" s="117"/>
      <c r="AG19" s="117"/>
      <c r="AH19" s="165" t="s">
        <v>23</v>
      </c>
      <c r="AI19" s="165"/>
      <c r="AJ19" s="165"/>
      <c r="AK19" s="165"/>
      <c r="AL19" s="166"/>
      <c r="AM19" s="303">
        <v>8</v>
      </c>
      <c r="AN19" s="304"/>
      <c r="AO19" s="304"/>
      <c r="AP19" s="304"/>
      <c r="AQ19" s="304"/>
      <c r="AR19" s="304"/>
      <c r="AS19" s="305"/>
      <c r="AT19" s="214">
        <f>AM19*V17*Pax!J21</f>
        <v>8.1383640449438204</v>
      </c>
      <c r="AU19" s="215"/>
    </row>
    <row r="20" spans="1:47" ht="15.75" thickBot="1">
      <c r="A20" s="160" t="s">
        <v>24</v>
      </c>
      <c r="B20" s="141"/>
      <c r="C20" s="141"/>
      <c r="D20" s="161"/>
      <c r="E20" s="122">
        <f>SUM(E11:I19)</f>
        <v>89</v>
      </c>
      <c r="F20" s="123"/>
      <c r="G20" s="123"/>
      <c r="H20" s="123"/>
      <c r="I20" s="124"/>
      <c r="J20" s="306"/>
      <c r="K20" s="296"/>
      <c r="L20" s="296"/>
      <c r="M20" s="296"/>
      <c r="N20" s="296"/>
      <c r="O20" s="296"/>
      <c r="P20" s="296"/>
      <c r="Q20" s="296"/>
      <c r="R20" s="296"/>
      <c r="S20" s="296"/>
      <c r="T20" s="296"/>
      <c r="U20" s="297"/>
      <c r="V20" s="125">
        <f>SUM(J11:U18)</f>
        <v>7090</v>
      </c>
      <c r="W20" s="126"/>
      <c r="X20" s="126"/>
      <c r="Y20" s="126"/>
      <c r="Z20" s="126"/>
      <c r="AA20" s="126"/>
      <c r="AB20" s="126"/>
      <c r="AC20" s="126"/>
      <c r="AD20" s="126"/>
      <c r="AE20" s="126"/>
      <c r="AF20" s="126"/>
      <c r="AG20" s="127"/>
      <c r="AH20" s="220"/>
      <c r="AI20" s="221"/>
      <c r="AJ20" s="221"/>
      <c r="AK20" s="221"/>
      <c r="AL20" s="221"/>
      <c r="AM20" s="140">
        <f>SUM(AM17:AS19)</f>
        <v>80</v>
      </c>
      <c r="AN20" s="140"/>
      <c r="AO20" s="140"/>
      <c r="AP20" s="140"/>
      <c r="AQ20" s="140"/>
      <c r="AR20" s="140"/>
      <c r="AS20" s="140"/>
      <c r="AT20" s="255"/>
      <c r="AU20" s="256"/>
    </row>
    <row r="21" spans="1:47">
      <c r="A21" s="179"/>
      <c r="B21" s="180"/>
      <c r="C21" s="180"/>
      <c r="D21" s="180"/>
      <c r="E21" s="140"/>
      <c r="F21" s="140"/>
      <c r="G21" s="140"/>
      <c r="H21" s="140"/>
      <c r="I21" s="140"/>
      <c r="J21" s="132"/>
      <c r="K21" s="132"/>
      <c r="L21" s="132"/>
      <c r="M21" s="132"/>
      <c r="N21" s="132"/>
      <c r="O21" s="132"/>
      <c r="P21" s="132" t="s">
        <v>101</v>
      </c>
      <c r="Q21" s="132"/>
      <c r="R21" s="132"/>
      <c r="S21" s="132"/>
      <c r="T21" s="132"/>
      <c r="U21" s="132"/>
      <c r="V21" s="140">
        <f>Z21/E20</f>
        <v>6.01123595505618</v>
      </c>
      <c r="W21" s="140"/>
      <c r="X21" s="140"/>
      <c r="Y21" s="140"/>
      <c r="Z21" s="218">
        <f>Z31-V27-V7</f>
        <v>535</v>
      </c>
      <c r="AA21" s="218"/>
      <c r="AB21" s="218"/>
      <c r="AC21" s="218"/>
      <c r="AD21" s="218"/>
      <c r="AE21" s="218"/>
      <c r="AF21" s="218"/>
      <c r="AG21" s="218"/>
      <c r="AH21" s="132"/>
      <c r="AI21" s="132"/>
      <c r="AJ21" s="132"/>
      <c r="AK21" s="132"/>
      <c r="AL21" s="132"/>
      <c r="AM21" s="242">
        <f>AM20+E19-E20</f>
        <v>-9</v>
      </c>
      <c r="AN21" s="242"/>
      <c r="AO21" s="242"/>
      <c r="AP21" s="242"/>
      <c r="AQ21" s="242"/>
      <c r="AR21" s="242"/>
      <c r="AS21" s="242"/>
      <c r="AT21" s="132"/>
      <c r="AU21" s="156"/>
    </row>
    <row r="22" spans="1:47" ht="15.75" thickBot="1">
      <c r="A22" s="206" t="s">
        <v>25</v>
      </c>
      <c r="B22" s="188"/>
      <c r="C22" s="188"/>
      <c r="D22" s="188"/>
      <c r="E22" s="184" t="s">
        <v>14</v>
      </c>
      <c r="F22" s="184"/>
      <c r="G22" s="184"/>
      <c r="H22" s="184"/>
      <c r="I22" s="184"/>
      <c r="J22" s="184"/>
      <c r="K22" s="184"/>
      <c r="L22" s="184"/>
      <c r="M22" s="184"/>
      <c r="N22" s="184"/>
      <c r="O22" s="184"/>
      <c r="P22" s="184"/>
      <c r="Q22" s="184"/>
      <c r="R22" s="184"/>
      <c r="S22" s="184"/>
      <c r="T22" s="184"/>
      <c r="U22" s="184"/>
      <c r="V22" s="188"/>
      <c r="W22" s="188"/>
      <c r="X22" s="188"/>
      <c r="Y22" s="188"/>
      <c r="Z22" s="132"/>
      <c r="AA22" s="132"/>
      <c r="AB22" s="132"/>
      <c r="AC22" s="132"/>
      <c r="AD22" s="132"/>
      <c r="AE22" s="132"/>
      <c r="AF22" s="132"/>
      <c r="AG22" s="132"/>
      <c r="AH22" s="132"/>
      <c r="AI22" s="132"/>
      <c r="AJ22" s="132"/>
      <c r="AK22" s="132"/>
      <c r="AL22" s="132"/>
      <c r="AM22" s="188"/>
      <c r="AN22" s="188"/>
      <c r="AO22" s="188"/>
      <c r="AP22" s="188"/>
      <c r="AQ22" s="188"/>
      <c r="AR22" s="188"/>
      <c r="AS22" s="188"/>
      <c r="AT22" s="240" t="s">
        <v>16</v>
      </c>
      <c r="AU22" s="241"/>
    </row>
    <row r="23" spans="1:47" ht="15.75" thickBot="1">
      <c r="A23" s="185" t="s">
        <v>73</v>
      </c>
      <c r="B23" s="186"/>
      <c r="C23" s="186"/>
      <c r="D23" s="187"/>
      <c r="E23" s="257">
        <v>0</v>
      </c>
      <c r="F23" s="258"/>
      <c r="G23" s="258"/>
      <c r="H23" s="258"/>
      <c r="I23" s="258"/>
      <c r="J23" s="258"/>
      <c r="K23" s="258"/>
      <c r="L23" s="258"/>
      <c r="M23" s="258"/>
      <c r="N23" s="258"/>
      <c r="O23" s="258"/>
      <c r="P23" s="258"/>
      <c r="Q23" s="258"/>
      <c r="R23" s="258"/>
      <c r="S23" s="258"/>
      <c r="T23" s="258"/>
      <c r="U23" s="259"/>
      <c r="V23" s="131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56"/>
      <c r="AT23" s="128">
        <f>E23*Cargo!B6</f>
        <v>0</v>
      </c>
      <c r="AU23" s="130"/>
    </row>
    <row r="24" spans="1:47" ht="15.75" thickBot="1">
      <c r="A24" s="167" t="s">
        <v>74</v>
      </c>
      <c r="B24" s="168"/>
      <c r="C24" s="168"/>
      <c r="D24" s="169"/>
      <c r="E24" s="257">
        <v>1102</v>
      </c>
      <c r="F24" s="258"/>
      <c r="G24" s="258"/>
      <c r="H24" s="258"/>
      <c r="I24" s="258"/>
      <c r="J24" s="258"/>
      <c r="K24" s="258"/>
      <c r="L24" s="258"/>
      <c r="M24" s="258"/>
      <c r="N24" s="258"/>
      <c r="O24" s="258"/>
      <c r="P24" s="258"/>
      <c r="Q24" s="258"/>
      <c r="R24" s="258"/>
      <c r="S24" s="258"/>
      <c r="T24" s="258"/>
      <c r="U24" s="259"/>
      <c r="V24" s="131"/>
      <c r="W24" s="132"/>
      <c r="X24" s="132"/>
      <c r="Y24" s="132"/>
      <c r="Z24" s="132"/>
      <c r="AA24" s="132"/>
      <c r="AB24" s="132"/>
      <c r="AC24" s="132"/>
      <c r="AD24" s="132"/>
      <c r="AE24" s="132"/>
      <c r="AF24" s="132"/>
      <c r="AG24" s="132"/>
      <c r="AH24" s="132"/>
      <c r="AI24" s="132"/>
      <c r="AJ24" s="132"/>
      <c r="AK24" s="132"/>
      <c r="AL24" s="132"/>
      <c r="AM24" s="132"/>
      <c r="AN24" s="132"/>
      <c r="AO24" s="132"/>
      <c r="AP24" s="132"/>
      <c r="AQ24" s="132"/>
      <c r="AR24" s="132"/>
      <c r="AS24" s="156"/>
      <c r="AT24" s="238">
        <f>E24*Cargo!C6</f>
        <v>12.71743548387097</v>
      </c>
      <c r="AU24" s="239"/>
    </row>
    <row r="25" spans="1:47" ht="15.75" thickBot="1">
      <c r="A25" s="167" t="s">
        <v>26</v>
      </c>
      <c r="B25" s="168"/>
      <c r="C25" s="168"/>
      <c r="D25" s="169"/>
      <c r="E25" s="257">
        <v>0</v>
      </c>
      <c r="F25" s="258"/>
      <c r="G25" s="258"/>
      <c r="H25" s="258"/>
      <c r="I25" s="258"/>
      <c r="J25" s="258"/>
      <c r="K25" s="258"/>
      <c r="L25" s="258"/>
      <c r="M25" s="258"/>
      <c r="N25" s="258"/>
      <c r="O25" s="258"/>
      <c r="P25" s="258"/>
      <c r="Q25" s="258"/>
      <c r="R25" s="258"/>
      <c r="S25" s="258"/>
      <c r="T25" s="258"/>
      <c r="U25" s="259"/>
      <c r="V25" s="131"/>
      <c r="W25" s="132"/>
      <c r="X25" s="132"/>
      <c r="Y25" s="132"/>
      <c r="Z25" s="132"/>
      <c r="AA25" s="132"/>
      <c r="AB25" s="132"/>
      <c r="AC25" s="132"/>
      <c r="AD25" s="132"/>
      <c r="AE25" s="132"/>
      <c r="AF25" s="132"/>
      <c r="AG25" s="132"/>
      <c r="AH25" s="132"/>
      <c r="AI25" s="132"/>
      <c r="AJ25" s="132"/>
      <c r="AK25" s="132"/>
      <c r="AL25" s="132"/>
      <c r="AM25" s="132"/>
      <c r="AN25" s="132"/>
      <c r="AO25" s="132"/>
      <c r="AP25" s="132"/>
      <c r="AQ25" s="132"/>
      <c r="AR25" s="132"/>
      <c r="AS25" s="156"/>
      <c r="AT25" s="128">
        <f>0</f>
        <v>0</v>
      </c>
      <c r="AU25" s="130"/>
    </row>
    <row r="26" spans="1:47" ht="15.75" thickBot="1">
      <c r="A26" s="167" t="s">
        <v>27</v>
      </c>
      <c r="B26" s="168"/>
      <c r="C26" s="168"/>
      <c r="D26" s="169"/>
      <c r="E26" s="257">
        <v>0</v>
      </c>
      <c r="F26" s="258"/>
      <c r="G26" s="258"/>
      <c r="H26" s="258"/>
      <c r="I26" s="258"/>
      <c r="J26" s="258"/>
      <c r="K26" s="258"/>
      <c r="L26" s="258"/>
      <c r="M26" s="258"/>
      <c r="N26" s="258"/>
      <c r="O26" s="258"/>
      <c r="P26" s="258"/>
      <c r="Q26" s="258"/>
      <c r="R26" s="258"/>
      <c r="S26" s="258"/>
      <c r="T26" s="258"/>
      <c r="U26" s="259"/>
      <c r="V26" s="116"/>
      <c r="W26" s="117"/>
      <c r="X26" s="117"/>
      <c r="Y26" s="117"/>
      <c r="Z26" s="117"/>
      <c r="AA26" s="117"/>
      <c r="AB26" s="117"/>
      <c r="AC26" s="117"/>
      <c r="AD26" s="117"/>
      <c r="AE26" s="117"/>
      <c r="AF26" s="117"/>
      <c r="AG26" s="117"/>
      <c r="AH26" s="132"/>
      <c r="AI26" s="132"/>
      <c r="AJ26" s="132"/>
      <c r="AK26" s="132"/>
      <c r="AL26" s="132"/>
      <c r="AM26" s="132"/>
      <c r="AN26" s="132"/>
      <c r="AO26" s="132"/>
      <c r="AP26" s="132"/>
      <c r="AQ26" s="132"/>
      <c r="AR26" s="132"/>
      <c r="AS26" s="156"/>
      <c r="AT26" s="128">
        <f>0</f>
        <v>0</v>
      </c>
      <c r="AU26" s="130"/>
    </row>
    <row r="27" spans="1:47" ht="15.75" thickBot="1">
      <c r="A27" s="160" t="s">
        <v>24</v>
      </c>
      <c r="B27" s="141"/>
      <c r="C27" s="141"/>
      <c r="D27" s="141"/>
      <c r="E27" s="218"/>
      <c r="F27" s="218"/>
      <c r="G27" s="218"/>
      <c r="H27" s="218"/>
      <c r="I27" s="218"/>
      <c r="J27" s="218"/>
      <c r="K27" s="218"/>
      <c r="L27" s="218"/>
      <c r="M27" s="218"/>
      <c r="N27" s="218"/>
      <c r="O27" s="218"/>
      <c r="P27" s="218"/>
      <c r="Q27" s="218"/>
      <c r="R27" s="218"/>
      <c r="S27" s="218"/>
      <c r="T27" s="218"/>
      <c r="U27" s="302"/>
      <c r="V27" s="125">
        <f>SUM(E23:U26)</f>
        <v>1102</v>
      </c>
      <c r="W27" s="126"/>
      <c r="X27" s="126"/>
      <c r="Y27" s="126"/>
      <c r="Z27" s="126"/>
      <c r="AA27" s="126"/>
      <c r="AB27" s="126"/>
      <c r="AC27" s="126"/>
      <c r="AD27" s="126"/>
      <c r="AE27" s="126"/>
      <c r="AF27" s="126"/>
      <c r="AG27" s="127"/>
      <c r="AH27" s="220"/>
      <c r="AI27" s="221"/>
      <c r="AJ27" s="221"/>
      <c r="AK27" s="221"/>
      <c r="AL27" s="221"/>
      <c r="AM27" s="188"/>
      <c r="AN27" s="188"/>
      <c r="AO27" s="188"/>
      <c r="AP27" s="188"/>
      <c r="AQ27" s="188"/>
      <c r="AR27" s="188"/>
      <c r="AS27" s="188"/>
      <c r="AT27" s="139"/>
      <c r="AU27" s="142"/>
    </row>
    <row r="28" spans="1:47" ht="15.75" thickBot="1">
      <c r="A28" s="179"/>
      <c r="B28" s="180"/>
      <c r="C28" s="180"/>
      <c r="D28" s="180"/>
      <c r="E28" s="117"/>
      <c r="F28" s="117"/>
      <c r="G28" s="117"/>
      <c r="H28" s="117"/>
      <c r="I28" s="117"/>
      <c r="J28" s="132"/>
      <c r="K28" s="132"/>
      <c r="L28" s="132"/>
      <c r="M28" s="132"/>
      <c r="N28" s="132"/>
      <c r="O28" s="132"/>
      <c r="P28" s="170" t="s">
        <v>99</v>
      </c>
      <c r="Q28" s="171"/>
      <c r="R28" s="171"/>
      <c r="S28" s="171"/>
      <c r="T28" s="171"/>
      <c r="U28" s="172"/>
      <c r="V28" s="125">
        <f>V20+V27</f>
        <v>8192</v>
      </c>
      <c r="W28" s="126"/>
      <c r="X28" s="126"/>
      <c r="Y28" s="126"/>
      <c r="Z28" s="126"/>
      <c r="AA28" s="126"/>
      <c r="AB28" s="126"/>
      <c r="AC28" s="126"/>
      <c r="AD28" s="126"/>
      <c r="AE28" s="126"/>
      <c r="AF28" s="126"/>
      <c r="AG28" s="127"/>
      <c r="AH28" s="132"/>
      <c r="AI28" s="132"/>
      <c r="AJ28" s="132"/>
      <c r="AK28" s="132"/>
      <c r="AL28" s="132"/>
      <c r="AM28" s="132"/>
      <c r="AN28" s="132"/>
      <c r="AO28" s="132"/>
      <c r="AP28" s="132"/>
      <c r="AQ28" s="132"/>
      <c r="AR28" s="132"/>
      <c r="AS28" s="132"/>
      <c r="AT28" s="235"/>
      <c r="AU28" s="236"/>
    </row>
    <row r="29" spans="1:47" ht="15.75" thickBot="1">
      <c r="A29" s="2"/>
      <c r="B29" s="167" t="s">
        <v>28</v>
      </c>
      <c r="C29" s="168"/>
      <c r="D29" s="168"/>
      <c r="E29" s="168"/>
      <c r="F29" s="168"/>
      <c r="G29" s="168"/>
      <c r="H29" s="168"/>
      <c r="I29" s="169"/>
      <c r="J29" s="179"/>
      <c r="K29" s="180"/>
      <c r="L29" s="180"/>
      <c r="M29" s="180"/>
      <c r="N29" s="180"/>
      <c r="O29" s="180"/>
      <c r="P29" s="117"/>
      <c r="Q29" s="117"/>
      <c r="R29" s="117"/>
      <c r="S29" s="117"/>
      <c r="T29" s="117"/>
      <c r="U29" s="117"/>
      <c r="V29" s="118"/>
      <c r="W29" s="118"/>
      <c r="X29" s="118"/>
      <c r="Y29" s="118"/>
      <c r="Z29" s="186"/>
      <c r="AA29" s="186"/>
      <c r="AB29" s="186"/>
      <c r="AC29" s="186"/>
      <c r="AD29" s="186"/>
      <c r="AE29" s="186"/>
      <c r="AF29" s="186"/>
      <c r="AG29" s="186"/>
      <c r="AH29" s="132"/>
      <c r="AI29" s="132"/>
      <c r="AJ29" s="132"/>
      <c r="AK29" s="132"/>
      <c r="AL29" s="132"/>
      <c r="AM29" s="117"/>
      <c r="AN29" s="117"/>
      <c r="AO29" s="117"/>
      <c r="AP29" s="117"/>
      <c r="AQ29" s="117"/>
      <c r="AR29" s="117"/>
      <c r="AS29" s="117"/>
      <c r="AT29" s="117"/>
      <c r="AU29" s="119"/>
    </row>
    <row r="30" spans="1:47" ht="15.75" thickBot="1">
      <c r="A30" s="2"/>
      <c r="B30" s="167">
        <v>46700</v>
      </c>
      <c r="C30" s="168"/>
      <c r="D30" s="168"/>
      <c r="E30" s="168"/>
      <c r="F30" s="168"/>
      <c r="G30" s="168"/>
      <c r="H30" s="168"/>
      <c r="I30" s="169"/>
      <c r="J30" s="131" t="s">
        <v>10</v>
      </c>
      <c r="K30" s="132"/>
      <c r="L30" s="132"/>
      <c r="M30" s="132"/>
      <c r="N30" s="132"/>
      <c r="O30" s="156"/>
      <c r="P30" s="170" t="s">
        <v>29</v>
      </c>
      <c r="Q30" s="171"/>
      <c r="R30" s="171"/>
      <c r="S30" s="171"/>
      <c r="T30" s="171"/>
      <c r="U30" s="172"/>
      <c r="V30" s="125">
        <f>V7+V20+V27</f>
        <v>42202</v>
      </c>
      <c r="W30" s="126"/>
      <c r="X30" s="126"/>
      <c r="Y30" s="126"/>
      <c r="Z30" s="126"/>
      <c r="AA30" s="126"/>
      <c r="AB30" s="126"/>
      <c r="AC30" s="126"/>
      <c r="AD30" s="126"/>
      <c r="AE30" s="126"/>
      <c r="AF30" s="126"/>
      <c r="AG30" s="127"/>
      <c r="AH30" s="143"/>
      <c r="AI30" s="133"/>
      <c r="AJ30" s="133"/>
      <c r="AK30" s="133"/>
      <c r="AL30" s="144"/>
      <c r="AM30" s="170" t="s">
        <v>30</v>
      </c>
      <c r="AN30" s="171"/>
      <c r="AO30" s="171"/>
      <c r="AP30" s="171"/>
      <c r="AQ30" s="171"/>
      <c r="AR30" s="171"/>
      <c r="AS30" s="172"/>
      <c r="AT30" s="214">
        <f>ROUND(SUM(AT7,SUM(AT17:AU19),SUM(AT23:AU26)),4)</f>
        <v>51.75</v>
      </c>
      <c r="AU30" s="215"/>
    </row>
    <row r="31" spans="1:47" ht="15.75" thickBot="1">
      <c r="A31" s="3" t="s">
        <v>31</v>
      </c>
      <c r="B31" s="128"/>
      <c r="C31" s="129"/>
      <c r="D31" s="129"/>
      <c r="E31" s="129"/>
      <c r="F31" s="129"/>
      <c r="G31" s="129"/>
      <c r="H31" s="129"/>
      <c r="I31" s="130"/>
      <c r="J31" s="131" t="s">
        <v>10</v>
      </c>
      <c r="K31" s="132"/>
      <c r="L31" s="132"/>
      <c r="M31" s="132"/>
      <c r="N31" s="132"/>
      <c r="O31" s="132"/>
      <c r="P31" s="140" t="s">
        <v>102</v>
      </c>
      <c r="Q31" s="140"/>
      <c r="R31" s="140"/>
      <c r="S31" s="140"/>
      <c r="T31" s="140"/>
      <c r="U31" s="140"/>
      <c r="V31" s="204"/>
      <c r="W31" s="204"/>
      <c r="X31" s="204"/>
      <c r="Y31" s="204"/>
      <c r="Z31" s="218">
        <v>35647</v>
      </c>
      <c r="AA31" s="218"/>
      <c r="AB31" s="218"/>
      <c r="AC31" s="218"/>
      <c r="AD31" s="218"/>
      <c r="AE31" s="218"/>
      <c r="AF31" s="218"/>
      <c r="AG31" s="218"/>
      <c r="AH31" s="132"/>
      <c r="AI31" s="132"/>
      <c r="AJ31" s="132"/>
      <c r="AK31" s="132"/>
      <c r="AL31" s="132"/>
      <c r="AM31" s="140"/>
      <c r="AN31" s="140"/>
      <c r="AO31" s="140"/>
      <c r="AP31" s="140"/>
      <c r="AQ31" s="140"/>
      <c r="AR31" s="140"/>
      <c r="AS31" s="140"/>
      <c r="AT31" s="301"/>
      <c r="AU31" s="234"/>
    </row>
    <row r="32" spans="1:47">
      <c r="A32" s="206"/>
      <c r="B32" s="188"/>
      <c r="C32" s="188"/>
      <c r="D32" s="188"/>
      <c r="E32" s="141"/>
      <c r="F32" s="141"/>
      <c r="G32" s="141"/>
      <c r="H32" s="141"/>
      <c r="I32" s="141"/>
      <c r="J32" s="132"/>
      <c r="K32" s="132"/>
      <c r="L32" s="132"/>
      <c r="M32" s="132"/>
      <c r="N32" s="132"/>
      <c r="O32" s="132"/>
      <c r="P32" s="188"/>
      <c r="Q32" s="188"/>
      <c r="R32" s="188"/>
      <c r="S32" s="188"/>
      <c r="T32" s="188"/>
      <c r="U32" s="188"/>
      <c r="V32" s="132"/>
      <c r="W32" s="132"/>
      <c r="X32" s="132"/>
      <c r="Y32" s="132"/>
      <c r="Z32" s="232"/>
      <c r="AA32" s="232"/>
      <c r="AB32" s="232"/>
      <c r="AC32" s="232"/>
      <c r="AD32" s="232"/>
      <c r="AE32" s="232"/>
      <c r="AF32" s="232"/>
      <c r="AG32" s="232"/>
      <c r="AH32" s="132"/>
      <c r="AI32" s="132"/>
      <c r="AJ32" s="132"/>
      <c r="AK32" s="132"/>
      <c r="AL32" s="132"/>
      <c r="AM32" s="188"/>
      <c r="AN32" s="188"/>
      <c r="AO32" s="188"/>
      <c r="AP32" s="188"/>
      <c r="AQ32" s="188"/>
      <c r="AR32" s="188"/>
      <c r="AS32" s="188"/>
      <c r="AT32" s="229"/>
      <c r="AU32" s="230"/>
    </row>
    <row r="33" spans="1:49" ht="15.75" thickBot="1">
      <c r="A33" s="179" t="s">
        <v>32</v>
      </c>
      <c r="B33" s="180"/>
      <c r="C33" s="180"/>
      <c r="D33" s="180"/>
      <c r="E33" s="184" t="s">
        <v>14</v>
      </c>
      <c r="F33" s="184"/>
      <c r="G33" s="184"/>
      <c r="H33" s="184"/>
      <c r="I33" s="184"/>
      <c r="J33" s="184"/>
      <c r="K33" s="184"/>
      <c r="L33" s="184"/>
      <c r="M33" s="184"/>
      <c r="N33" s="184"/>
      <c r="O33" s="184"/>
      <c r="P33" s="184"/>
      <c r="Q33" s="184"/>
      <c r="R33" s="184"/>
      <c r="S33" s="184"/>
      <c r="T33" s="184"/>
      <c r="U33" s="184"/>
      <c r="V33" s="132"/>
      <c r="W33" s="132"/>
      <c r="X33" s="132"/>
      <c r="Y33" s="132"/>
      <c r="Z33" s="132"/>
      <c r="AA33" s="132"/>
      <c r="AB33" s="132"/>
      <c r="AC33" s="132"/>
      <c r="AD33" s="132"/>
      <c r="AE33" s="132"/>
      <c r="AF33" s="132"/>
      <c r="AG33" s="132"/>
      <c r="AH33" s="132"/>
      <c r="AI33" s="132"/>
      <c r="AJ33" s="132"/>
      <c r="AK33" s="132"/>
      <c r="AL33" s="132"/>
      <c r="AM33" s="132"/>
      <c r="AN33" s="132"/>
      <c r="AO33" s="132"/>
      <c r="AP33" s="132"/>
      <c r="AQ33" s="132"/>
      <c r="AR33" s="132"/>
      <c r="AS33" s="132"/>
      <c r="AT33" s="184" t="s">
        <v>16</v>
      </c>
      <c r="AU33" s="231"/>
    </row>
    <row r="34" spans="1:49" ht="15.75" thickBot="1">
      <c r="A34" s="185" t="s">
        <v>33</v>
      </c>
      <c r="B34" s="186"/>
      <c r="C34" s="186"/>
      <c r="D34" s="187"/>
      <c r="E34" s="257">
        <v>8020</v>
      </c>
      <c r="F34" s="258"/>
      <c r="G34" s="258"/>
      <c r="H34" s="258"/>
      <c r="I34" s="258"/>
      <c r="J34" s="258"/>
      <c r="K34" s="258"/>
      <c r="L34" s="258"/>
      <c r="M34" s="258"/>
      <c r="N34" s="258"/>
      <c r="O34" s="258"/>
      <c r="P34" s="258"/>
      <c r="Q34" s="258"/>
      <c r="R34" s="258"/>
      <c r="S34" s="258"/>
      <c r="T34" s="258"/>
      <c r="U34" s="259"/>
      <c r="V34" s="131"/>
      <c r="W34" s="132"/>
      <c r="X34" s="132"/>
      <c r="Y34" s="132"/>
      <c r="Z34" s="132"/>
      <c r="AA34" s="132"/>
      <c r="AB34" s="132"/>
      <c r="AC34" s="132"/>
      <c r="AD34" s="132"/>
      <c r="AE34" s="132"/>
      <c r="AF34" s="132"/>
      <c r="AG34" s="132"/>
      <c r="AH34" s="132"/>
      <c r="AI34" s="132"/>
      <c r="AJ34" s="132"/>
      <c r="AK34" s="132"/>
      <c r="AL34" s="132"/>
      <c r="AM34" s="132"/>
      <c r="AN34" s="132"/>
      <c r="AO34" s="132"/>
      <c r="AP34" s="132"/>
      <c r="AQ34" s="132"/>
      <c r="AR34" s="132"/>
      <c r="AS34" s="156"/>
      <c r="AT34" s="122">
        <f>VLOOKUP(V36,Fuel!A4:D82,3,TRUE)</f>
        <v>-8.1679999999999993</v>
      </c>
      <c r="AU34" s="124"/>
    </row>
    <row r="35" spans="1:49" ht="15.75" thickBot="1">
      <c r="A35" s="167" t="s">
        <v>34</v>
      </c>
      <c r="B35" s="168"/>
      <c r="C35" s="168"/>
      <c r="D35" s="169"/>
      <c r="E35" s="257">
        <v>0</v>
      </c>
      <c r="F35" s="258"/>
      <c r="G35" s="258"/>
      <c r="H35" s="258"/>
      <c r="I35" s="258"/>
      <c r="J35" s="258"/>
      <c r="K35" s="258"/>
      <c r="L35" s="258"/>
      <c r="M35" s="258"/>
      <c r="N35" s="258"/>
      <c r="O35" s="258"/>
      <c r="P35" s="258"/>
      <c r="Q35" s="258"/>
      <c r="R35" s="258"/>
      <c r="S35" s="258"/>
      <c r="T35" s="258"/>
      <c r="U35" s="259"/>
      <c r="V35" s="116"/>
      <c r="W35" s="117"/>
      <c r="X35" s="117"/>
      <c r="Y35" s="117"/>
      <c r="Z35" s="117"/>
      <c r="AA35" s="117"/>
      <c r="AB35" s="117"/>
      <c r="AC35" s="117"/>
      <c r="AD35" s="117"/>
      <c r="AE35" s="117"/>
      <c r="AF35" s="117"/>
      <c r="AG35" s="117"/>
      <c r="AH35" s="132"/>
      <c r="AI35" s="132"/>
      <c r="AJ35" s="132"/>
      <c r="AK35" s="132"/>
      <c r="AL35" s="132"/>
      <c r="AM35" s="132"/>
      <c r="AN35" s="132"/>
      <c r="AO35" s="132"/>
      <c r="AP35" s="132"/>
      <c r="AQ35" s="132"/>
      <c r="AR35" s="132"/>
      <c r="AS35" s="156"/>
      <c r="AT35" s="128">
        <v>0</v>
      </c>
      <c r="AU35" s="130"/>
    </row>
    <row r="36" spans="1:49" ht="15.75" thickBot="1">
      <c r="A36" s="160" t="s">
        <v>24</v>
      </c>
      <c r="B36" s="141"/>
      <c r="C36" s="141"/>
      <c r="D36" s="141"/>
      <c r="E36" s="296"/>
      <c r="F36" s="296"/>
      <c r="G36" s="296"/>
      <c r="H36" s="296"/>
      <c r="I36" s="296"/>
      <c r="J36" s="296"/>
      <c r="K36" s="296"/>
      <c r="L36" s="296"/>
      <c r="M36" s="296"/>
      <c r="N36" s="296"/>
      <c r="O36" s="296"/>
      <c r="P36" s="296"/>
      <c r="Q36" s="296"/>
      <c r="R36" s="296"/>
      <c r="S36" s="296"/>
      <c r="T36" s="296"/>
      <c r="U36" s="297"/>
      <c r="V36" s="125">
        <f>E34+E35</f>
        <v>8020</v>
      </c>
      <c r="W36" s="126"/>
      <c r="X36" s="126"/>
      <c r="Y36" s="126"/>
      <c r="Z36" s="126"/>
      <c r="AA36" s="126"/>
      <c r="AB36" s="126"/>
      <c r="AC36" s="126"/>
      <c r="AD36" s="126"/>
      <c r="AE36" s="126"/>
      <c r="AF36" s="126"/>
      <c r="AG36" s="127"/>
      <c r="AH36" s="220"/>
      <c r="AI36" s="221"/>
      <c r="AJ36" s="221"/>
      <c r="AK36" s="221"/>
      <c r="AL36" s="221"/>
      <c r="AM36" s="132"/>
      <c r="AN36" s="132"/>
      <c r="AO36" s="132"/>
      <c r="AP36" s="132"/>
      <c r="AQ36" s="132"/>
      <c r="AR36" s="132"/>
      <c r="AS36" s="132"/>
      <c r="AT36" s="201"/>
      <c r="AU36" s="222"/>
    </row>
    <row r="37" spans="1:49" ht="15.75" thickBot="1">
      <c r="A37" s="179"/>
      <c r="B37" s="180"/>
      <c r="C37" s="180"/>
      <c r="D37" s="180"/>
      <c r="E37" s="117"/>
      <c r="F37" s="117"/>
      <c r="G37" s="117"/>
      <c r="H37" s="117"/>
      <c r="I37" s="117"/>
      <c r="J37" s="132"/>
      <c r="K37" s="132"/>
      <c r="L37" s="132"/>
      <c r="M37" s="132"/>
      <c r="N37" s="132"/>
      <c r="O37" s="132"/>
      <c r="P37" s="132"/>
      <c r="Q37" s="132"/>
      <c r="R37" s="132"/>
      <c r="S37" s="132"/>
      <c r="T37" s="132"/>
      <c r="U37" s="132"/>
      <c r="V37" s="140"/>
      <c r="W37" s="140"/>
      <c r="X37" s="140"/>
      <c r="Y37" s="140"/>
      <c r="Z37" s="218"/>
      <c r="AA37" s="218"/>
      <c r="AB37" s="218"/>
      <c r="AC37" s="218"/>
      <c r="AD37" s="218"/>
      <c r="AE37" s="218"/>
      <c r="AF37" s="218"/>
      <c r="AG37" s="218"/>
      <c r="AH37" s="132"/>
      <c r="AI37" s="132"/>
      <c r="AJ37" s="132"/>
      <c r="AK37" s="132"/>
      <c r="AL37" s="132"/>
      <c r="AM37" s="132"/>
      <c r="AN37" s="132"/>
      <c r="AO37" s="132"/>
      <c r="AP37" s="132"/>
      <c r="AQ37" s="132"/>
      <c r="AR37" s="132"/>
      <c r="AS37" s="132"/>
      <c r="AT37" s="216"/>
      <c r="AU37" s="217"/>
    </row>
    <row r="38" spans="1:49" ht="15.75" thickBot="1">
      <c r="A38" s="2"/>
      <c r="B38" s="167" t="s">
        <v>35</v>
      </c>
      <c r="C38" s="168"/>
      <c r="D38" s="168"/>
      <c r="E38" s="168"/>
      <c r="F38" s="168"/>
      <c r="G38" s="168"/>
      <c r="H38" s="168"/>
      <c r="I38" s="169"/>
      <c r="J38" s="179"/>
      <c r="K38" s="180"/>
      <c r="L38" s="180"/>
      <c r="M38" s="180"/>
      <c r="N38" s="180"/>
      <c r="O38" s="180"/>
      <c r="P38" s="117"/>
      <c r="Q38" s="117"/>
      <c r="R38" s="117"/>
      <c r="S38" s="117"/>
      <c r="T38" s="117"/>
      <c r="U38" s="117"/>
      <c r="V38" s="118"/>
      <c r="W38" s="118"/>
      <c r="X38" s="118"/>
      <c r="Y38" s="118"/>
      <c r="Z38" s="186"/>
      <c r="AA38" s="186"/>
      <c r="AB38" s="186"/>
      <c r="AC38" s="186"/>
      <c r="AD38" s="186"/>
      <c r="AE38" s="186"/>
      <c r="AF38" s="186"/>
      <c r="AG38" s="186"/>
      <c r="AH38" s="132"/>
      <c r="AI38" s="132"/>
      <c r="AJ38" s="132"/>
      <c r="AK38" s="132"/>
      <c r="AL38" s="132"/>
      <c r="AM38" s="117"/>
      <c r="AN38" s="117"/>
      <c r="AO38" s="117"/>
      <c r="AP38" s="117"/>
      <c r="AQ38" s="117"/>
      <c r="AR38" s="117"/>
      <c r="AS38" s="117"/>
      <c r="AT38" s="117"/>
      <c r="AU38" s="119"/>
    </row>
    <row r="39" spans="1:49" ht="15.75" thickBot="1">
      <c r="A39" s="2"/>
      <c r="B39" s="191">
        <v>54000</v>
      </c>
      <c r="C39" s="192"/>
      <c r="D39" s="192"/>
      <c r="E39" s="192"/>
      <c r="F39" s="192"/>
      <c r="G39" s="192"/>
      <c r="H39" s="192"/>
      <c r="I39" s="193"/>
      <c r="J39" s="131" t="s">
        <v>10</v>
      </c>
      <c r="K39" s="132"/>
      <c r="L39" s="132"/>
      <c r="M39" s="132"/>
      <c r="N39" s="132"/>
      <c r="O39" s="156"/>
      <c r="P39" s="170" t="s">
        <v>36</v>
      </c>
      <c r="Q39" s="171"/>
      <c r="R39" s="171"/>
      <c r="S39" s="171"/>
      <c r="T39" s="171"/>
      <c r="U39" s="172"/>
      <c r="V39" s="125">
        <f>V30+V36</f>
        <v>50222</v>
      </c>
      <c r="W39" s="126"/>
      <c r="X39" s="126"/>
      <c r="Y39" s="126"/>
      <c r="Z39" s="126"/>
      <c r="AA39" s="126"/>
      <c r="AB39" s="126"/>
      <c r="AC39" s="126"/>
      <c r="AD39" s="126"/>
      <c r="AE39" s="126"/>
      <c r="AF39" s="126"/>
      <c r="AG39" s="127"/>
      <c r="AH39" s="143"/>
      <c r="AI39" s="133"/>
      <c r="AJ39" s="133"/>
      <c r="AK39" s="133"/>
      <c r="AL39" s="144"/>
      <c r="AM39" s="170" t="s">
        <v>37</v>
      </c>
      <c r="AN39" s="171"/>
      <c r="AO39" s="171"/>
      <c r="AP39" s="171"/>
      <c r="AQ39" s="171"/>
      <c r="AR39" s="171"/>
      <c r="AS39" s="172"/>
      <c r="AT39" s="214">
        <f>AT30+AT34+AT35</f>
        <v>43.582000000000001</v>
      </c>
      <c r="AU39" s="215"/>
    </row>
    <row r="40" spans="1:49" ht="15.75" thickBot="1">
      <c r="A40" s="3" t="s">
        <v>31</v>
      </c>
      <c r="B40" s="191"/>
      <c r="C40" s="192"/>
      <c r="D40" s="192"/>
      <c r="E40" s="192"/>
      <c r="F40" s="192"/>
      <c r="G40" s="192"/>
      <c r="H40" s="192"/>
      <c r="I40" s="193"/>
      <c r="J40" s="131" t="s">
        <v>10</v>
      </c>
      <c r="K40" s="132"/>
      <c r="L40" s="132"/>
      <c r="M40" s="132"/>
      <c r="N40" s="132"/>
      <c r="O40" s="132"/>
      <c r="P40" s="201"/>
      <c r="Q40" s="201"/>
      <c r="R40" s="201"/>
      <c r="S40" s="201"/>
      <c r="T40" s="201"/>
      <c r="U40" s="201"/>
      <c r="V40" s="201"/>
      <c r="W40" s="201"/>
      <c r="X40" s="201"/>
      <c r="Y40" s="201"/>
      <c r="Z40" s="140"/>
      <c r="AA40" s="140"/>
      <c r="AB40" s="140"/>
      <c r="AC40" s="140"/>
      <c r="AD40" s="140"/>
      <c r="AE40" s="140"/>
      <c r="AF40" s="140"/>
      <c r="AG40" s="140"/>
      <c r="AH40" s="188"/>
      <c r="AI40" s="188"/>
      <c r="AJ40" s="188"/>
      <c r="AK40" s="188"/>
      <c r="AL40" s="188"/>
      <c r="AM40" s="171"/>
      <c r="AN40" s="171"/>
      <c r="AO40" s="171"/>
      <c r="AP40" s="171"/>
      <c r="AQ40" s="171"/>
      <c r="AR40" s="171"/>
      <c r="AS40" s="171"/>
      <c r="AT40" s="212"/>
      <c r="AU40" s="213"/>
    </row>
    <row r="41" spans="1:49" ht="15.75" thickBot="1">
      <c r="A41" s="206"/>
      <c r="B41" s="188"/>
      <c r="C41" s="188"/>
      <c r="D41" s="188"/>
      <c r="E41" s="141"/>
      <c r="F41" s="141"/>
      <c r="G41" s="141"/>
      <c r="H41" s="141"/>
      <c r="I41" s="141"/>
      <c r="J41" s="132"/>
      <c r="K41" s="132"/>
      <c r="L41" s="132"/>
      <c r="M41" s="132"/>
      <c r="N41" s="132"/>
      <c r="O41" s="132"/>
      <c r="P41" s="188"/>
      <c r="Q41" s="188"/>
      <c r="R41" s="188"/>
      <c r="S41" s="188"/>
      <c r="T41" s="188"/>
      <c r="U41" s="188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32"/>
      <c r="AI41" s="132"/>
      <c r="AJ41" s="132"/>
      <c r="AK41" s="132"/>
      <c r="AL41" s="156"/>
      <c r="AM41" s="170" t="s">
        <v>38</v>
      </c>
      <c r="AN41" s="171"/>
      <c r="AO41" s="171"/>
      <c r="AP41" s="171"/>
      <c r="AQ41" s="171"/>
      <c r="AR41" s="171"/>
      <c r="AS41" s="172"/>
      <c r="AT41" s="202">
        <f>((620*(AT39-51)/V39)+1)/0.03665</f>
        <v>24.786450207463581</v>
      </c>
      <c r="AU41" s="203"/>
      <c r="AW41" t="s">
        <v>91</v>
      </c>
    </row>
    <row r="42" spans="1:49" ht="15.75" thickBot="1">
      <c r="A42" s="206" t="s">
        <v>39</v>
      </c>
      <c r="B42" s="188"/>
      <c r="C42" s="188"/>
      <c r="D42" s="188"/>
      <c r="E42" s="164"/>
      <c r="F42" s="164"/>
      <c r="G42" s="164"/>
      <c r="H42" s="164"/>
      <c r="I42" s="164"/>
      <c r="J42" s="164"/>
      <c r="K42" s="164"/>
      <c r="L42" s="164"/>
      <c r="M42" s="164"/>
      <c r="N42" s="164"/>
      <c r="O42" s="164"/>
      <c r="P42" s="164"/>
      <c r="Q42" s="164"/>
      <c r="R42" s="164"/>
      <c r="S42" s="164"/>
      <c r="T42" s="164"/>
      <c r="U42" s="219"/>
      <c r="V42" s="257">
        <v>4991</v>
      </c>
      <c r="W42" s="258"/>
      <c r="X42" s="258"/>
      <c r="Y42" s="258"/>
      <c r="Z42" s="258"/>
      <c r="AA42" s="258"/>
      <c r="AB42" s="258"/>
      <c r="AC42" s="258"/>
      <c r="AD42" s="258"/>
      <c r="AE42" s="258"/>
      <c r="AF42" s="258"/>
      <c r="AG42" s="259"/>
      <c r="AH42" s="131"/>
      <c r="AI42" s="132"/>
      <c r="AJ42" s="132"/>
      <c r="AK42" s="132"/>
      <c r="AL42" s="132"/>
      <c r="AM42" s="201"/>
      <c r="AN42" s="201"/>
      <c r="AO42" s="201"/>
      <c r="AP42" s="201"/>
      <c r="AQ42" s="201"/>
      <c r="AR42" s="201"/>
      <c r="AS42" s="201"/>
      <c r="AT42" s="128">
        <f>VLOOKUP(V42,Fuel!A4:D82,3,TRUE)</f>
        <v>0.879</v>
      </c>
      <c r="AU42" s="130"/>
    </row>
    <row r="43" spans="1:49" ht="15.75" thickBot="1">
      <c r="A43" s="179"/>
      <c r="B43" s="180"/>
      <c r="C43" s="180"/>
      <c r="D43" s="180"/>
      <c r="E43" s="165"/>
      <c r="F43" s="165"/>
      <c r="G43" s="165"/>
      <c r="H43" s="165"/>
      <c r="I43" s="165"/>
      <c r="J43" s="165"/>
      <c r="K43" s="165"/>
      <c r="L43" s="165"/>
      <c r="M43" s="165"/>
      <c r="N43" s="165"/>
      <c r="O43" s="165"/>
      <c r="P43" s="165"/>
      <c r="Q43" s="165"/>
      <c r="R43" s="165"/>
      <c r="S43" s="165"/>
      <c r="T43" s="165"/>
      <c r="U43" s="165"/>
      <c r="V43" s="204"/>
      <c r="W43" s="204"/>
      <c r="X43" s="204"/>
      <c r="Y43" s="204"/>
      <c r="Z43" s="218"/>
      <c r="AA43" s="218"/>
      <c r="AB43" s="218"/>
      <c r="AC43" s="218"/>
      <c r="AD43" s="218"/>
      <c r="AE43" s="218"/>
      <c r="AF43" s="218"/>
      <c r="AG43" s="218"/>
      <c r="AH43" s="132"/>
      <c r="AI43" s="132"/>
      <c r="AJ43" s="132"/>
      <c r="AK43" s="132"/>
      <c r="AL43" s="132"/>
      <c r="AM43" s="180"/>
      <c r="AN43" s="180"/>
      <c r="AO43" s="180"/>
      <c r="AP43" s="180"/>
      <c r="AQ43" s="180"/>
      <c r="AR43" s="180"/>
      <c r="AS43" s="180"/>
      <c r="AT43" s="132"/>
      <c r="AU43" s="156"/>
    </row>
    <row r="44" spans="1:49" ht="15.75" thickBot="1">
      <c r="A44" s="2"/>
      <c r="B44" s="167" t="s">
        <v>40</v>
      </c>
      <c r="C44" s="168"/>
      <c r="D44" s="168"/>
      <c r="E44" s="168"/>
      <c r="F44" s="168"/>
      <c r="G44" s="168"/>
      <c r="H44" s="168"/>
      <c r="I44" s="169"/>
      <c r="J44" s="179"/>
      <c r="K44" s="180"/>
      <c r="L44" s="180"/>
      <c r="M44" s="180"/>
      <c r="N44" s="180"/>
      <c r="O44" s="180"/>
      <c r="P44" s="117"/>
      <c r="Q44" s="117"/>
      <c r="R44" s="117"/>
      <c r="S44" s="117"/>
      <c r="T44" s="117"/>
      <c r="U44" s="117"/>
      <c r="V44" s="118"/>
      <c r="W44" s="118"/>
      <c r="X44" s="118"/>
      <c r="Y44" s="118"/>
      <c r="Z44" s="186"/>
      <c r="AA44" s="186"/>
      <c r="AB44" s="186"/>
      <c r="AC44" s="186"/>
      <c r="AD44" s="186"/>
      <c r="AE44" s="186"/>
      <c r="AF44" s="186"/>
      <c r="AG44" s="186"/>
      <c r="AH44" s="132"/>
      <c r="AI44" s="132"/>
      <c r="AJ44" s="132"/>
      <c r="AK44" s="132"/>
      <c r="AL44" s="132"/>
      <c r="AM44" s="132"/>
      <c r="AN44" s="132"/>
      <c r="AO44" s="132"/>
      <c r="AP44" s="132"/>
      <c r="AQ44" s="132"/>
      <c r="AR44" s="132"/>
      <c r="AS44" s="132"/>
      <c r="AT44" s="132"/>
      <c r="AU44" s="156"/>
    </row>
    <row r="45" spans="1:49" ht="15.75" thickBot="1">
      <c r="A45" s="2"/>
      <c r="B45" s="167">
        <v>49050</v>
      </c>
      <c r="C45" s="168"/>
      <c r="D45" s="168"/>
      <c r="E45" s="168"/>
      <c r="F45" s="168"/>
      <c r="G45" s="168"/>
      <c r="H45" s="168"/>
      <c r="I45" s="169"/>
      <c r="J45" s="131" t="s">
        <v>10</v>
      </c>
      <c r="K45" s="132"/>
      <c r="L45" s="132"/>
      <c r="M45" s="132"/>
      <c r="N45" s="132"/>
      <c r="O45" s="156"/>
      <c r="P45" s="170" t="s">
        <v>41</v>
      </c>
      <c r="Q45" s="171"/>
      <c r="R45" s="171"/>
      <c r="S45" s="171"/>
      <c r="T45" s="171"/>
      <c r="U45" s="172"/>
      <c r="V45" s="125">
        <f>V39-V42</f>
        <v>45231</v>
      </c>
      <c r="W45" s="126"/>
      <c r="X45" s="126"/>
      <c r="Y45" s="126"/>
      <c r="Z45" s="126"/>
      <c r="AA45" s="126"/>
      <c r="AB45" s="126"/>
      <c r="AC45" s="126"/>
      <c r="AD45" s="126"/>
      <c r="AE45" s="126"/>
      <c r="AF45" s="126"/>
      <c r="AG45" s="127"/>
      <c r="AH45" s="143"/>
      <c r="AI45" s="133"/>
      <c r="AJ45" s="133"/>
      <c r="AK45" s="133"/>
      <c r="AL45" s="133"/>
      <c r="AM45" s="170" t="s">
        <v>92</v>
      </c>
      <c r="AN45" s="171"/>
      <c r="AO45" s="171"/>
      <c r="AP45" s="171"/>
      <c r="AQ45" s="171"/>
      <c r="AR45" s="171"/>
      <c r="AS45" s="172"/>
      <c r="AT45" s="202">
        <f>AT39-AT42</f>
        <v>42.703000000000003</v>
      </c>
      <c r="AU45" s="203"/>
    </row>
    <row r="46" spans="1:49" ht="15.75" thickBot="1">
      <c r="A46" s="3" t="s">
        <v>31</v>
      </c>
      <c r="B46" s="128"/>
      <c r="C46" s="129"/>
      <c r="D46" s="129"/>
      <c r="E46" s="129"/>
      <c r="F46" s="129"/>
      <c r="G46" s="129"/>
      <c r="H46" s="129"/>
      <c r="I46" s="130"/>
      <c r="J46" s="131" t="s">
        <v>10</v>
      </c>
      <c r="K46" s="132"/>
      <c r="L46" s="132"/>
      <c r="M46" s="132"/>
      <c r="N46" s="132"/>
      <c r="O46" s="132"/>
      <c r="P46" s="140"/>
      <c r="Q46" s="140"/>
      <c r="R46" s="140"/>
      <c r="S46" s="140"/>
      <c r="T46" s="140"/>
      <c r="U46" s="140"/>
      <c r="V46" s="204"/>
      <c r="W46" s="204"/>
      <c r="X46" s="204"/>
      <c r="Y46" s="204"/>
      <c r="Z46" s="201"/>
      <c r="AA46" s="201"/>
      <c r="AB46" s="201"/>
      <c r="AC46" s="201"/>
      <c r="AD46" s="201"/>
      <c r="AE46" s="201"/>
      <c r="AF46" s="201"/>
      <c r="AG46" s="201"/>
      <c r="AH46" s="133"/>
      <c r="AI46" s="133"/>
      <c r="AJ46" s="133"/>
      <c r="AK46" s="133"/>
      <c r="AL46" s="133"/>
      <c r="AM46" s="165"/>
      <c r="AN46" s="165"/>
      <c r="AO46" s="165"/>
      <c r="AP46" s="165"/>
      <c r="AQ46" s="165"/>
      <c r="AR46" s="165"/>
      <c r="AS46" s="165"/>
      <c r="AT46" s="132"/>
      <c r="AU46" s="156"/>
    </row>
    <row r="47" spans="1:49" ht="15.75" thickBot="1">
      <c r="A47" s="185"/>
      <c r="B47" s="186"/>
      <c r="C47" s="186"/>
      <c r="D47" s="186"/>
      <c r="E47" s="159"/>
      <c r="F47" s="159"/>
      <c r="G47" s="159"/>
      <c r="H47" s="159"/>
      <c r="I47" s="159"/>
      <c r="J47" s="159"/>
      <c r="K47" s="159"/>
      <c r="L47" s="159"/>
      <c r="M47" s="159"/>
      <c r="N47" s="159"/>
      <c r="O47" s="159"/>
      <c r="P47" s="159"/>
      <c r="Q47" s="159"/>
      <c r="R47" s="159"/>
      <c r="S47" s="159"/>
      <c r="T47" s="159"/>
      <c r="U47" s="159"/>
      <c r="V47" s="118"/>
      <c r="W47" s="118"/>
      <c r="X47" s="118"/>
      <c r="Y47" s="118"/>
      <c r="Z47" s="186"/>
      <c r="AA47" s="186"/>
      <c r="AB47" s="186"/>
      <c r="AC47" s="117"/>
      <c r="AD47" s="117"/>
      <c r="AE47" s="117"/>
      <c r="AF47" s="117"/>
      <c r="AG47" s="117"/>
      <c r="AH47" s="117"/>
      <c r="AI47" s="117"/>
      <c r="AJ47" s="117"/>
      <c r="AK47" s="117"/>
      <c r="AL47" s="117"/>
      <c r="AM47" s="186"/>
      <c r="AN47" s="186"/>
      <c r="AO47" s="186"/>
      <c r="AP47" s="186"/>
      <c r="AQ47" s="186"/>
      <c r="AR47" s="186"/>
      <c r="AS47" s="186"/>
      <c r="AT47" s="117"/>
      <c r="AU47" s="119"/>
    </row>
    <row r="48" spans="1:49" ht="15.75" thickBot="1">
      <c r="A48" s="154"/>
      <c r="B48" s="154"/>
      <c r="C48" s="154"/>
      <c r="D48" s="154"/>
      <c r="E48" s="154"/>
      <c r="F48" s="154"/>
      <c r="G48" s="154"/>
      <c r="H48" s="154"/>
      <c r="I48" s="154"/>
      <c r="J48" s="154"/>
      <c r="K48" s="154"/>
      <c r="L48" s="154"/>
      <c r="M48" s="154"/>
      <c r="N48" s="154"/>
      <c r="O48" s="154"/>
      <c r="P48" s="154"/>
      <c r="Q48" s="154"/>
      <c r="R48" s="154"/>
      <c r="S48" s="154"/>
      <c r="T48" s="154"/>
      <c r="U48" s="154"/>
      <c r="V48" s="154"/>
      <c r="W48" s="154"/>
      <c r="X48" s="154"/>
      <c r="Y48" s="154"/>
      <c r="Z48" s="154"/>
      <c r="AA48" s="154"/>
      <c r="AB48" s="154"/>
      <c r="AC48" s="154"/>
      <c r="AD48" s="154"/>
      <c r="AE48" s="154"/>
      <c r="AF48" s="154"/>
      <c r="AG48" s="154"/>
      <c r="AH48" s="154"/>
      <c r="AI48" s="154"/>
      <c r="AJ48" s="154"/>
      <c r="AK48" s="154"/>
      <c r="AL48" s="154"/>
      <c r="AM48" s="154"/>
      <c r="AN48" s="154"/>
      <c r="AO48" s="154"/>
      <c r="AP48" s="154"/>
      <c r="AQ48" s="154"/>
      <c r="AR48" s="154"/>
      <c r="AS48" s="154"/>
      <c r="AT48" s="154"/>
      <c r="AU48" s="154"/>
    </row>
    <row r="49" spans="1:47">
      <c r="A49" s="200"/>
      <c r="B49" s="201"/>
      <c r="C49" s="201"/>
      <c r="D49" s="201"/>
      <c r="E49" s="201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201"/>
      <c r="Q49" s="201"/>
      <c r="R49" s="201"/>
      <c r="S49" s="201"/>
      <c r="T49" s="201"/>
      <c r="U49" s="201"/>
      <c r="V49" s="201"/>
      <c r="W49" s="201"/>
      <c r="X49" s="201"/>
      <c r="Y49" s="201"/>
      <c r="Z49" s="201"/>
      <c r="AA49" s="201"/>
      <c r="AB49" s="201"/>
      <c r="AC49" s="140"/>
      <c r="AD49" s="140"/>
      <c r="AE49" s="140"/>
      <c r="AF49" s="140"/>
      <c r="AG49" s="140"/>
      <c r="AH49" s="140"/>
      <c r="AI49" s="140"/>
      <c r="AJ49" s="140"/>
      <c r="AK49" s="140"/>
      <c r="AL49" s="140"/>
      <c r="AM49" s="139"/>
      <c r="AN49" s="139"/>
      <c r="AO49" s="139"/>
      <c r="AP49" s="139"/>
      <c r="AQ49" s="139"/>
      <c r="AR49" s="139"/>
      <c r="AS49" s="139"/>
      <c r="AT49" s="140"/>
      <c r="AU49" s="189"/>
    </row>
    <row r="50" spans="1:47">
      <c r="A50" s="179"/>
      <c r="B50" s="180"/>
      <c r="C50" s="180"/>
      <c r="D50" s="180"/>
      <c r="E50" s="180"/>
      <c r="F50" s="132"/>
      <c r="G50" s="132"/>
      <c r="H50" s="132"/>
      <c r="I50" s="132"/>
      <c r="J50" s="132"/>
      <c r="K50" s="132"/>
      <c r="L50" s="132"/>
      <c r="M50" s="132"/>
      <c r="N50" s="132"/>
      <c r="O50" s="132"/>
      <c r="P50" s="188" t="s">
        <v>42</v>
      </c>
      <c r="Q50" s="188"/>
      <c r="R50" s="188"/>
      <c r="S50" s="188"/>
      <c r="T50" s="188"/>
      <c r="U50" s="188"/>
      <c r="V50" s="188"/>
      <c r="W50" s="188"/>
      <c r="X50" s="188"/>
      <c r="Y50" s="188"/>
      <c r="Z50" s="188"/>
      <c r="AA50" s="188"/>
      <c r="AB50" s="188"/>
      <c r="AC50" s="132"/>
      <c r="AD50" s="132"/>
      <c r="AE50" s="132"/>
      <c r="AF50" s="132"/>
      <c r="AG50" s="132"/>
      <c r="AH50" s="132"/>
      <c r="AI50" s="132"/>
      <c r="AJ50" s="132"/>
      <c r="AK50" s="132"/>
      <c r="AL50" s="132"/>
      <c r="AM50" s="133"/>
      <c r="AN50" s="133"/>
      <c r="AO50" s="133"/>
      <c r="AP50" s="133"/>
      <c r="AQ50" s="133"/>
      <c r="AR50" s="133"/>
      <c r="AS50" s="133"/>
      <c r="AT50" s="132"/>
      <c r="AU50" s="156"/>
    </row>
    <row r="51" spans="1:47" ht="15.75" thickBot="1">
      <c r="A51" s="131"/>
      <c r="B51" s="132"/>
      <c r="C51" s="132"/>
      <c r="D51" s="132"/>
      <c r="E51" s="132"/>
      <c r="F51" s="132"/>
      <c r="G51" s="132"/>
      <c r="H51" s="132"/>
      <c r="I51" s="132"/>
      <c r="J51" s="132"/>
      <c r="K51" s="132"/>
      <c r="L51" s="132"/>
      <c r="M51" s="132"/>
      <c r="N51" s="132"/>
      <c r="O51" s="132"/>
      <c r="P51" s="132"/>
      <c r="Q51" s="132"/>
      <c r="R51" s="132"/>
      <c r="S51" s="132"/>
      <c r="T51" s="132"/>
      <c r="U51" s="132"/>
      <c r="V51" s="132"/>
      <c r="W51" s="132"/>
      <c r="X51" s="132"/>
      <c r="Y51" s="132"/>
      <c r="Z51" s="132"/>
      <c r="AA51" s="132"/>
      <c r="AB51" s="132"/>
      <c r="AC51" s="132"/>
      <c r="AD51" s="132"/>
      <c r="AE51" s="132"/>
      <c r="AF51" s="132"/>
      <c r="AG51" s="132"/>
      <c r="AH51" s="132"/>
      <c r="AI51" s="132"/>
      <c r="AJ51" s="132"/>
      <c r="AK51" s="132"/>
      <c r="AL51" s="132"/>
      <c r="AM51" s="132"/>
      <c r="AN51" s="132"/>
      <c r="AO51" s="132"/>
      <c r="AP51" s="132"/>
      <c r="AQ51" s="132"/>
      <c r="AR51" s="132"/>
      <c r="AS51" s="132"/>
      <c r="AT51" s="132"/>
      <c r="AU51" s="156"/>
    </row>
    <row r="52" spans="1:47" ht="15.75" thickBot="1">
      <c r="A52" s="162" t="s">
        <v>43</v>
      </c>
      <c r="B52" s="163"/>
      <c r="C52" s="163"/>
      <c r="D52" s="163"/>
      <c r="E52" s="163"/>
      <c r="F52" s="163"/>
      <c r="G52" s="163"/>
      <c r="H52" s="163"/>
      <c r="I52" s="163"/>
      <c r="J52" s="163"/>
      <c r="K52" s="163"/>
      <c r="L52" s="190"/>
      <c r="M52" s="128" t="s">
        <v>10</v>
      </c>
      <c r="N52" s="129"/>
      <c r="O52" s="129"/>
      <c r="P52" s="129"/>
      <c r="Q52" s="129"/>
      <c r="R52" s="129"/>
      <c r="S52" s="130"/>
      <c r="T52" s="162" t="s">
        <v>44</v>
      </c>
      <c r="U52" s="163"/>
      <c r="V52" s="163"/>
      <c r="W52" s="163"/>
      <c r="X52" s="163"/>
      <c r="Y52" s="190"/>
      <c r="Z52" s="191"/>
      <c r="AA52" s="192"/>
      <c r="AB52" s="192"/>
      <c r="AC52" s="193"/>
      <c r="AD52" s="194" t="s">
        <v>45</v>
      </c>
      <c r="AE52" s="195"/>
      <c r="AF52" s="195"/>
      <c r="AG52" s="195"/>
      <c r="AH52" s="195"/>
      <c r="AI52" s="195"/>
      <c r="AJ52" s="195"/>
      <c r="AK52" s="195"/>
      <c r="AL52" s="195"/>
      <c r="AM52" s="195"/>
      <c r="AN52" s="195"/>
      <c r="AO52" s="195"/>
      <c r="AP52" s="196"/>
      <c r="AQ52" s="197" t="s">
        <v>10</v>
      </c>
      <c r="AR52" s="198"/>
      <c r="AS52" s="198"/>
      <c r="AT52" s="198"/>
      <c r="AU52" s="199"/>
    </row>
    <row r="53" spans="1:47">
      <c r="A53" s="131"/>
      <c r="B53" s="132"/>
      <c r="C53" s="132"/>
      <c r="D53" s="132"/>
      <c r="E53" s="132"/>
      <c r="F53" s="132"/>
      <c r="G53" s="188" t="s">
        <v>46</v>
      </c>
      <c r="H53" s="188"/>
      <c r="I53" s="188"/>
      <c r="J53" s="188"/>
      <c r="K53" s="188"/>
      <c r="L53" s="188"/>
      <c r="M53" s="188"/>
      <c r="N53" s="188"/>
      <c r="O53" s="188"/>
      <c r="P53" s="188"/>
      <c r="Q53" s="188"/>
      <c r="R53" s="188"/>
      <c r="S53" s="188"/>
      <c r="T53" s="132"/>
      <c r="U53" s="132"/>
      <c r="V53" s="132"/>
      <c r="W53" s="132"/>
      <c r="X53" s="132"/>
      <c r="Y53" s="132"/>
      <c r="Z53" s="132"/>
      <c r="AA53" s="132"/>
      <c r="AB53" s="132"/>
      <c r="AC53" s="132"/>
      <c r="AD53" s="188" t="s">
        <v>25</v>
      </c>
      <c r="AE53" s="188"/>
      <c r="AF53" s="188"/>
      <c r="AG53" s="188"/>
      <c r="AH53" s="188"/>
      <c r="AI53" s="188"/>
      <c r="AJ53" s="188"/>
      <c r="AK53" s="188"/>
      <c r="AL53" s="188"/>
      <c r="AM53" s="188"/>
      <c r="AN53" s="188"/>
      <c r="AO53" s="188"/>
      <c r="AP53" s="188"/>
      <c r="AQ53" s="140"/>
      <c r="AR53" s="140"/>
      <c r="AS53" s="140"/>
      <c r="AT53" s="140"/>
      <c r="AU53" s="189"/>
    </row>
    <row r="54" spans="1:47" ht="15.75" thickBot="1">
      <c r="A54" s="143"/>
      <c r="B54" s="133"/>
      <c r="C54" s="133"/>
      <c r="D54" s="133"/>
      <c r="E54" s="133"/>
      <c r="F54" s="133"/>
      <c r="G54" s="184" t="s">
        <v>13</v>
      </c>
      <c r="H54" s="184"/>
      <c r="I54" s="184"/>
      <c r="J54" s="184"/>
      <c r="K54" s="184"/>
      <c r="L54" s="184"/>
      <c r="M54" s="184" t="s">
        <v>47</v>
      </c>
      <c r="N54" s="184"/>
      <c r="O54" s="184"/>
      <c r="P54" s="184"/>
      <c r="Q54" s="184"/>
      <c r="R54" s="184"/>
      <c r="S54" s="184"/>
      <c r="T54" s="132"/>
      <c r="U54" s="132"/>
      <c r="V54" s="132"/>
      <c r="W54" s="132"/>
      <c r="X54" s="132"/>
      <c r="Y54" s="132"/>
      <c r="Z54" s="132"/>
      <c r="AA54" s="132"/>
      <c r="AB54" s="132"/>
      <c r="AC54" s="132"/>
      <c r="AD54" s="184" t="s">
        <v>48</v>
      </c>
      <c r="AE54" s="184"/>
      <c r="AF54" s="184"/>
      <c r="AG54" s="184"/>
      <c r="AH54" s="184"/>
      <c r="AI54" s="184"/>
      <c r="AJ54" s="184" t="s">
        <v>47</v>
      </c>
      <c r="AK54" s="184"/>
      <c r="AL54" s="184"/>
      <c r="AM54" s="184"/>
      <c r="AN54" s="184"/>
      <c r="AO54" s="184"/>
      <c r="AP54" s="184"/>
      <c r="AQ54" s="132"/>
      <c r="AR54" s="132"/>
      <c r="AS54" s="132"/>
      <c r="AT54" s="132"/>
      <c r="AU54" s="156"/>
    </row>
    <row r="55" spans="1:47" ht="15.75" thickBot="1">
      <c r="A55" s="185" t="s">
        <v>17</v>
      </c>
      <c r="B55" s="186"/>
      <c r="C55" s="186"/>
      <c r="D55" s="186"/>
      <c r="E55" s="186"/>
      <c r="F55" s="187"/>
      <c r="G55" s="122"/>
      <c r="H55" s="123"/>
      <c r="I55" s="123"/>
      <c r="J55" s="123"/>
      <c r="K55" s="123"/>
      <c r="L55" s="124"/>
      <c r="M55" s="122"/>
      <c r="N55" s="123"/>
      <c r="O55" s="123"/>
      <c r="P55" s="123"/>
      <c r="Q55" s="123"/>
      <c r="R55" s="123"/>
      <c r="S55" s="124"/>
      <c r="T55" s="131"/>
      <c r="U55" s="132"/>
      <c r="V55" s="132"/>
      <c r="W55" s="132"/>
      <c r="X55" s="132"/>
      <c r="Y55" s="132"/>
      <c r="Z55" s="132"/>
      <c r="AA55" s="132"/>
      <c r="AB55" s="132"/>
      <c r="AC55" s="156"/>
      <c r="AD55" s="176"/>
      <c r="AE55" s="177"/>
      <c r="AF55" s="177"/>
      <c r="AG55" s="177"/>
      <c r="AH55" s="177"/>
      <c r="AI55" s="178"/>
      <c r="AJ55" s="176"/>
      <c r="AK55" s="177"/>
      <c r="AL55" s="177"/>
      <c r="AM55" s="177"/>
      <c r="AN55" s="177"/>
      <c r="AO55" s="177"/>
      <c r="AP55" s="178"/>
      <c r="AQ55" s="179"/>
      <c r="AR55" s="180"/>
      <c r="AS55" s="180"/>
      <c r="AT55" s="132"/>
      <c r="AU55" s="156"/>
    </row>
    <row r="56" spans="1:47" ht="15.75" thickBot="1">
      <c r="A56" s="167" t="s">
        <v>19</v>
      </c>
      <c r="B56" s="168"/>
      <c r="C56" s="168"/>
      <c r="D56" s="168"/>
      <c r="E56" s="168"/>
      <c r="F56" s="169"/>
      <c r="G56" s="122"/>
      <c r="H56" s="123"/>
      <c r="I56" s="123"/>
      <c r="J56" s="123"/>
      <c r="K56" s="123"/>
      <c r="L56" s="124"/>
      <c r="M56" s="122"/>
      <c r="N56" s="123"/>
      <c r="O56" s="123"/>
      <c r="P56" s="123"/>
      <c r="Q56" s="123"/>
      <c r="R56" s="123"/>
      <c r="S56" s="124"/>
      <c r="T56" s="181"/>
      <c r="U56" s="182"/>
      <c r="V56" s="182"/>
      <c r="W56" s="182"/>
      <c r="X56" s="182"/>
      <c r="Y56" s="182"/>
      <c r="Z56" s="182"/>
      <c r="AA56" s="182"/>
      <c r="AB56" s="182"/>
      <c r="AC56" s="183"/>
      <c r="AD56" s="176"/>
      <c r="AE56" s="177"/>
      <c r="AF56" s="177"/>
      <c r="AG56" s="177"/>
      <c r="AH56" s="177"/>
      <c r="AI56" s="178"/>
      <c r="AJ56" s="176"/>
      <c r="AK56" s="177"/>
      <c r="AL56" s="177"/>
      <c r="AM56" s="177"/>
      <c r="AN56" s="177"/>
      <c r="AO56" s="177"/>
      <c r="AP56" s="178"/>
      <c r="AQ56" s="179"/>
      <c r="AR56" s="180"/>
      <c r="AS56" s="180"/>
      <c r="AT56" s="132"/>
      <c r="AU56" s="156"/>
    </row>
    <row r="57" spans="1:47" ht="15.75" thickBot="1">
      <c r="A57" s="167" t="s">
        <v>21</v>
      </c>
      <c r="B57" s="168"/>
      <c r="C57" s="168"/>
      <c r="D57" s="168"/>
      <c r="E57" s="168"/>
      <c r="F57" s="169"/>
      <c r="G57" s="122"/>
      <c r="H57" s="123"/>
      <c r="I57" s="123"/>
      <c r="J57" s="123"/>
      <c r="K57" s="123"/>
      <c r="L57" s="124"/>
      <c r="M57" s="170" t="s">
        <v>22</v>
      </c>
      <c r="N57" s="171"/>
      <c r="O57" s="171"/>
      <c r="P57" s="171"/>
      <c r="Q57" s="171"/>
      <c r="R57" s="171"/>
      <c r="S57" s="172"/>
      <c r="T57" s="173"/>
      <c r="U57" s="174"/>
      <c r="V57" s="174"/>
      <c r="W57" s="174"/>
      <c r="X57" s="174"/>
      <c r="Y57" s="174"/>
      <c r="Z57" s="174"/>
      <c r="AA57" s="174"/>
      <c r="AB57" s="174"/>
      <c r="AC57" s="175"/>
      <c r="AD57" s="176"/>
      <c r="AE57" s="177"/>
      <c r="AF57" s="177"/>
      <c r="AG57" s="177"/>
      <c r="AH57" s="177"/>
      <c r="AI57" s="178"/>
      <c r="AJ57" s="176"/>
      <c r="AK57" s="177"/>
      <c r="AL57" s="177"/>
      <c r="AM57" s="177"/>
      <c r="AN57" s="177"/>
      <c r="AO57" s="177"/>
      <c r="AP57" s="178"/>
      <c r="AQ57" s="179"/>
      <c r="AR57" s="180"/>
      <c r="AS57" s="180"/>
      <c r="AT57" s="132"/>
      <c r="AU57" s="156"/>
    </row>
    <row r="58" spans="1:47" ht="15.75" thickBot="1">
      <c r="A58" s="160" t="s">
        <v>49</v>
      </c>
      <c r="B58" s="141"/>
      <c r="C58" s="141"/>
      <c r="D58" s="141"/>
      <c r="E58" s="141"/>
      <c r="F58" s="161"/>
      <c r="G58" s="122"/>
      <c r="H58" s="123"/>
      <c r="I58" s="123"/>
      <c r="J58" s="123"/>
      <c r="K58" s="123"/>
      <c r="L58" s="124"/>
      <c r="M58" s="125" t="s">
        <v>50</v>
      </c>
      <c r="N58" s="126"/>
      <c r="O58" s="126"/>
      <c r="P58" s="126"/>
      <c r="Q58" s="126"/>
      <c r="R58" s="126"/>
      <c r="S58" s="127"/>
      <c r="T58" s="162"/>
      <c r="U58" s="163"/>
      <c r="V58" s="164"/>
      <c r="W58" s="164"/>
      <c r="X58" s="164"/>
      <c r="Y58" s="164"/>
      <c r="Z58" s="165" t="s">
        <v>51</v>
      </c>
      <c r="AA58" s="165"/>
      <c r="AB58" s="165"/>
      <c r="AC58" s="165"/>
      <c r="AD58" s="165"/>
      <c r="AE58" s="165"/>
      <c r="AF58" s="165"/>
      <c r="AG58" s="165"/>
      <c r="AH58" s="165"/>
      <c r="AI58" s="166"/>
      <c r="AJ58" s="125" t="s">
        <v>10</v>
      </c>
      <c r="AK58" s="126"/>
      <c r="AL58" s="126"/>
      <c r="AM58" s="126"/>
      <c r="AN58" s="126"/>
      <c r="AO58" s="126"/>
      <c r="AP58" s="127"/>
      <c r="AQ58" s="131"/>
      <c r="AR58" s="132"/>
      <c r="AS58" s="132"/>
      <c r="AT58" s="132"/>
      <c r="AU58" s="156"/>
    </row>
    <row r="59" spans="1:47" ht="15.75" thickBot="1">
      <c r="A59" s="157"/>
      <c r="B59" s="134"/>
      <c r="C59" s="134"/>
      <c r="D59" s="134"/>
      <c r="E59" s="134"/>
      <c r="F59" s="117"/>
      <c r="G59" s="117"/>
      <c r="H59" s="117"/>
      <c r="I59" s="117"/>
      <c r="J59" s="117"/>
      <c r="K59" s="117"/>
      <c r="L59" s="158"/>
      <c r="M59" s="158"/>
      <c r="N59" s="158"/>
      <c r="O59" s="158"/>
      <c r="P59" s="159"/>
      <c r="Q59" s="159"/>
      <c r="R59" s="159"/>
      <c r="S59" s="159"/>
      <c r="T59" s="159"/>
      <c r="U59" s="159"/>
      <c r="V59" s="159"/>
      <c r="W59" s="159"/>
      <c r="X59" s="159"/>
      <c r="Y59" s="159"/>
      <c r="Z59" s="117"/>
      <c r="AA59" s="117"/>
      <c r="AB59" s="117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17"/>
      <c r="AN59" s="117"/>
      <c r="AO59" s="117"/>
      <c r="AP59" s="117"/>
      <c r="AQ59" s="117"/>
      <c r="AR59" s="117"/>
      <c r="AS59" s="117"/>
      <c r="AT59" s="117"/>
      <c r="AU59" s="119"/>
    </row>
    <row r="60" spans="1:47" ht="15.75" thickBot="1">
      <c r="A60" s="154"/>
      <c r="B60" s="154"/>
      <c r="C60" s="154"/>
      <c r="D60" s="154"/>
      <c r="E60" s="154"/>
      <c r="F60" s="154"/>
      <c r="G60" s="154"/>
      <c r="H60" s="154"/>
      <c r="I60" s="154"/>
      <c r="J60" s="154"/>
      <c r="K60" s="154"/>
      <c r="L60" s="154"/>
      <c r="M60" s="154"/>
      <c r="N60" s="154"/>
      <c r="O60" s="154"/>
      <c r="P60" s="154"/>
      <c r="Q60" s="154"/>
      <c r="R60" s="154"/>
      <c r="S60" s="154"/>
      <c r="T60" s="154"/>
      <c r="U60" s="154"/>
      <c r="V60" s="154"/>
      <c r="W60" s="154"/>
      <c r="X60" s="154"/>
      <c r="Y60" s="154"/>
      <c r="Z60" s="154"/>
      <c r="AA60" s="154"/>
      <c r="AB60" s="154"/>
      <c r="AC60" s="154"/>
      <c r="AD60" s="154"/>
      <c r="AE60" s="154"/>
      <c r="AF60" s="154"/>
      <c r="AG60" s="154"/>
      <c r="AH60" s="154"/>
      <c r="AI60" s="154"/>
      <c r="AJ60" s="154"/>
      <c r="AK60" s="154"/>
      <c r="AL60" s="154"/>
      <c r="AM60" s="154"/>
      <c r="AN60" s="154"/>
      <c r="AO60" s="154"/>
      <c r="AP60" s="154"/>
      <c r="AQ60" s="154"/>
      <c r="AR60" s="154"/>
      <c r="AS60" s="154"/>
      <c r="AT60" s="154"/>
      <c r="AU60" s="154"/>
    </row>
    <row r="61" spans="1:47">
      <c r="A61" s="155"/>
      <c r="B61" s="139"/>
      <c r="C61" s="139"/>
      <c r="D61" s="139"/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  <c r="AC61" s="139"/>
      <c r="AD61" s="139"/>
      <c r="AE61" s="139"/>
      <c r="AF61" s="139"/>
      <c r="AG61" s="139"/>
      <c r="AH61" s="139"/>
      <c r="AI61" s="139"/>
      <c r="AJ61" s="139"/>
      <c r="AK61" s="139"/>
      <c r="AL61" s="139"/>
      <c r="AM61" s="139"/>
      <c r="AN61" s="139"/>
      <c r="AO61" s="139"/>
      <c r="AP61" s="139"/>
      <c r="AQ61" s="139"/>
      <c r="AR61" s="139"/>
      <c r="AS61" s="139"/>
      <c r="AT61" s="139"/>
      <c r="AU61" s="142"/>
    </row>
    <row r="62" spans="1:47">
      <c r="A62" s="143"/>
      <c r="B62" s="133"/>
      <c r="C62" s="133"/>
      <c r="D62" s="133"/>
      <c r="E62" s="133"/>
      <c r="F62" s="133"/>
      <c r="G62" s="133"/>
      <c r="H62" s="133"/>
      <c r="I62" s="133"/>
      <c r="J62" s="133"/>
      <c r="K62" s="133"/>
      <c r="L62" s="133"/>
      <c r="M62" s="133"/>
      <c r="N62" s="133"/>
      <c r="O62" s="133"/>
      <c r="P62" s="133"/>
      <c r="Q62" s="133"/>
      <c r="R62" s="133"/>
      <c r="S62" s="133"/>
      <c r="T62" s="133"/>
      <c r="U62" s="133"/>
      <c r="V62" s="133"/>
      <c r="W62" s="133"/>
      <c r="X62" s="133"/>
      <c r="Y62" s="133"/>
      <c r="Z62" s="133"/>
      <c r="AA62" s="133"/>
      <c r="AB62" s="133"/>
      <c r="AC62" s="133"/>
      <c r="AD62" s="133"/>
      <c r="AE62" s="133"/>
      <c r="AF62" s="133"/>
      <c r="AG62" s="133"/>
      <c r="AH62" s="133"/>
      <c r="AI62" s="133"/>
      <c r="AJ62" s="133"/>
      <c r="AK62" s="133"/>
      <c r="AL62" s="133"/>
      <c r="AM62" s="133"/>
      <c r="AN62" s="133"/>
      <c r="AO62" s="133"/>
      <c r="AP62" s="133"/>
      <c r="AQ62" s="133"/>
      <c r="AR62" s="133"/>
      <c r="AS62" s="133"/>
      <c r="AT62" s="133"/>
      <c r="AU62" s="144"/>
    </row>
    <row r="63" spans="1:47">
      <c r="A63" s="143"/>
      <c r="B63" s="133"/>
      <c r="C63" s="133"/>
      <c r="D63" s="133"/>
      <c r="E63" s="133"/>
      <c r="F63" s="133"/>
      <c r="G63" s="133"/>
      <c r="H63" s="133"/>
      <c r="I63" s="133"/>
      <c r="J63" s="133"/>
      <c r="K63" s="133"/>
      <c r="L63" s="133"/>
      <c r="M63" s="133"/>
      <c r="N63" s="133"/>
      <c r="O63" s="133"/>
      <c r="P63" s="133"/>
      <c r="Q63" s="133"/>
      <c r="R63" s="133"/>
      <c r="S63" s="133"/>
      <c r="T63" s="133"/>
      <c r="U63" s="133"/>
      <c r="V63" s="133"/>
      <c r="W63" s="133"/>
      <c r="X63" s="133"/>
      <c r="Y63" s="133"/>
      <c r="Z63" s="133"/>
      <c r="AA63" s="133"/>
      <c r="AB63" s="133"/>
      <c r="AC63" s="133"/>
      <c r="AD63" s="133"/>
      <c r="AE63" s="133"/>
      <c r="AF63" s="133"/>
      <c r="AG63" s="133"/>
      <c r="AH63" s="133"/>
      <c r="AI63" s="133"/>
      <c r="AJ63" s="133"/>
      <c r="AK63" s="133"/>
      <c r="AL63" s="133"/>
      <c r="AM63" s="133"/>
      <c r="AN63" s="133"/>
      <c r="AO63" s="133"/>
      <c r="AP63" s="133"/>
      <c r="AQ63" s="133"/>
      <c r="AR63" s="133"/>
      <c r="AS63" s="133"/>
      <c r="AT63" s="133"/>
      <c r="AU63" s="144"/>
    </row>
    <row r="64" spans="1:47">
      <c r="A64" s="143"/>
      <c r="B64" s="133"/>
      <c r="C64" s="133"/>
      <c r="D64" s="133"/>
      <c r="E64" s="133"/>
      <c r="F64" s="133"/>
      <c r="G64" s="133"/>
      <c r="H64" s="133"/>
      <c r="I64" s="133"/>
      <c r="J64" s="133"/>
      <c r="K64" s="133"/>
      <c r="L64" s="133"/>
      <c r="M64" s="133"/>
      <c r="N64" s="133"/>
      <c r="O64" s="133"/>
      <c r="P64" s="133"/>
      <c r="Q64" s="133"/>
      <c r="R64" s="133"/>
      <c r="S64" s="133"/>
      <c r="T64" s="133"/>
      <c r="U64" s="133"/>
      <c r="V64" s="133"/>
      <c r="W64" s="133"/>
      <c r="X64" s="133"/>
      <c r="Y64" s="133"/>
      <c r="Z64" s="133"/>
      <c r="AA64" s="133"/>
      <c r="AB64" s="133"/>
      <c r="AC64" s="133"/>
      <c r="AD64" s="133"/>
      <c r="AE64" s="133"/>
      <c r="AF64" s="133"/>
      <c r="AG64" s="133"/>
      <c r="AH64" s="133"/>
      <c r="AI64" s="133"/>
      <c r="AJ64" s="133"/>
      <c r="AK64" s="133"/>
      <c r="AL64" s="133"/>
      <c r="AM64" s="133"/>
      <c r="AN64" s="133"/>
      <c r="AO64" s="133"/>
      <c r="AP64" s="133"/>
      <c r="AQ64" s="133"/>
      <c r="AR64" s="133"/>
      <c r="AS64" s="133"/>
      <c r="AT64" s="133"/>
      <c r="AU64" s="144"/>
    </row>
    <row r="65" spans="1:47" ht="15.75" thickBot="1">
      <c r="A65" s="143"/>
      <c r="B65" s="133"/>
      <c r="C65" s="133"/>
      <c r="D65" s="133"/>
      <c r="E65" s="133"/>
      <c r="F65" s="133"/>
      <c r="G65" s="133"/>
      <c r="H65" s="133"/>
      <c r="I65" s="133"/>
      <c r="J65" s="133"/>
      <c r="K65" s="133"/>
      <c r="L65" s="133"/>
      <c r="M65" s="133"/>
      <c r="N65" s="133"/>
      <c r="O65" s="133"/>
      <c r="P65" s="133"/>
      <c r="Q65" s="133"/>
      <c r="R65" s="133"/>
      <c r="S65" s="133"/>
      <c r="T65" s="133"/>
      <c r="U65" s="133"/>
      <c r="V65" s="133"/>
      <c r="W65" s="133"/>
      <c r="X65" s="133"/>
      <c r="Y65" s="133"/>
      <c r="Z65" s="133"/>
      <c r="AA65" s="133"/>
      <c r="AB65" s="133"/>
      <c r="AC65" s="133"/>
      <c r="AD65" s="133"/>
      <c r="AE65" s="133"/>
      <c r="AF65" s="133"/>
      <c r="AG65" s="133"/>
      <c r="AH65" s="133"/>
      <c r="AI65" s="133"/>
      <c r="AJ65" s="133"/>
      <c r="AK65" s="133"/>
      <c r="AL65" s="133"/>
      <c r="AM65" s="133"/>
      <c r="AN65" s="133"/>
      <c r="AO65" s="133"/>
      <c r="AP65" s="133"/>
      <c r="AQ65" s="133"/>
      <c r="AR65" s="133"/>
      <c r="AS65" s="133"/>
      <c r="AT65" s="133"/>
      <c r="AU65" s="144"/>
    </row>
    <row r="66" spans="1:47" ht="15.75" thickBot="1">
      <c r="A66" s="143" t="s">
        <v>52</v>
      </c>
      <c r="B66" s="144"/>
      <c r="C66" s="145" t="s">
        <v>53</v>
      </c>
      <c r="D66" s="146"/>
      <c r="E66" s="146"/>
      <c r="F66" s="147"/>
      <c r="G66" s="148"/>
      <c r="H66" s="149"/>
      <c r="I66" s="149"/>
      <c r="J66" s="149"/>
      <c r="K66" s="149"/>
      <c r="L66" s="149"/>
      <c r="M66" s="150"/>
      <c r="N66" s="145" t="s">
        <v>46</v>
      </c>
      <c r="O66" s="146"/>
      <c r="P66" s="147"/>
      <c r="Q66" s="148" t="s">
        <v>18</v>
      </c>
      <c r="R66" s="149"/>
      <c r="S66" s="149"/>
      <c r="T66" s="150"/>
      <c r="U66" s="151" t="s">
        <v>23</v>
      </c>
      <c r="V66" s="152"/>
      <c r="W66" s="151" t="s">
        <v>54</v>
      </c>
      <c r="X66" s="153"/>
      <c r="Y66" s="152"/>
      <c r="Z66" s="145" t="s">
        <v>25</v>
      </c>
      <c r="AA66" s="146"/>
      <c r="AB66" s="147"/>
      <c r="AC66" s="148" t="s">
        <v>55</v>
      </c>
      <c r="AD66" s="150"/>
      <c r="AE66" s="136" t="s">
        <v>56</v>
      </c>
      <c r="AF66" s="137"/>
      <c r="AG66" s="137"/>
      <c r="AH66" s="138"/>
      <c r="AI66" s="136" t="s">
        <v>10</v>
      </c>
      <c r="AJ66" s="137"/>
      <c r="AK66" s="137"/>
      <c r="AL66" s="137"/>
      <c r="AM66" s="137"/>
      <c r="AN66" s="138"/>
      <c r="AO66" s="4" t="s">
        <v>55</v>
      </c>
      <c r="AP66" s="136" t="s">
        <v>56</v>
      </c>
      <c r="AQ66" s="137"/>
      <c r="AR66" s="137"/>
      <c r="AS66" s="138"/>
      <c r="AT66" s="125" t="s">
        <v>10</v>
      </c>
      <c r="AU66" s="127"/>
    </row>
    <row r="67" spans="1:47" ht="15.75" thickBot="1">
      <c r="A67" s="143"/>
      <c r="B67" s="144"/>
      <c r="C67" s="145" t="s">
        <v>57</v>
      </c>
      <c r="D67" s="146"/>
      <c r="E67" s="146"/>
      <c r="F67" s="147"/>
      <c r="G67" s="148"/>
      <c r="H67" s="149"/>
      <c r="I67" s="149"/>
      <c r="J67" s="149"/>
      <c r="K67" s="149"/>
      <c r="L67" s="149"/>
      <c r="M67" s="150"/>
      <c r="N67" s="145" t="s">
        <v>46</v>
      </c>
      <c r="O67" s="146"/>
      <c r="P67" s="147"/>
      <c r="Q67" s="148" t="s">
        <v>18</v>
      </c>
      <c r="R67" s="149"/>
      <c r="S67" s="149"/>
      <c r="T67" s="150"/>
      <c r="U67" s="151" t="s">
        <v>23</v>
      </c>
      <c r="V67" s="152"/>
      <c r="W67" s="151" t="s">
        <v>54</v>
      </c>
      <c r="X67" s="153"/>
      <c r="Y67" s="152"/>
      <c r="Z67" s="145" t="s">
        <v>25</v>
      </c>
      <c r="AA67" s="146"/>
      <c r="AB67" s="147"/>
      <c r="AC67" s="148" t="s">
        <v>55</v>
      </c>
      <c r="AD67" s="150"/>
      <c r="AE67" s="136" t="s">
        <v>56</v>
      </c>
      <c r="AF67" s="137"/>
      <c r="AG67" s="137"/>
      <c r="AH67" s="138"/>
      <c r="AI67" s="136" t="s">
        <v>10</v>
      </c>
      <c r="AJ67" s="137"/>
      <c r="AK67" s="137"/>
      <c r="AL67" s="137"/>
      <c r="AM67" s="137"/>
      <c r="AN67" s="138"/>
      <c r="AO67" s="5" t="s">
        <v>55</v>
      </c>
      <c r="AP67" s="136" t="s">
        <v>56</v>
      </c>
      <c r="AQ67" s="137"/>
      <c r="AR67" s="137"/>
      <c r="AS67" s="138"/>
      <c r="AT67" s="125" t="s">
        <v>10</v>
      </c>
      <c r="AU67" s="127"/>
    </row>
    <row r="68" spans="1:47">
      <c r="A68" s="131"/>
      <c r="B68" s="132"/>
      <c r="C68" s="139"/>
      <c r="D68" s="139"/>
      <c r="E68" s="139"/>
      <c r="F68" s="139"/>
      <c r="G68" s="140"/>
      <c r="H68" s="140"/>
      <c r="I68" s="140"/>
      <c r="J68" s="140"/>
      <c r="K68" s="140"/>
      <c r="L68" s="140"/>
      <c r="M68" s="140"/>
      <c r="N68" s="140"/>
      <c r="O68" s="140"/>
      <c r="P68" s="140"/>
      <c r="Q68" s="140"/>
      <c r="R68" s="140"/>
      <c r="S68" s="140"/>
      <c r="T68" s="140"/>
      <c r="U68" s="140"/>
      <c r="V68" s="140"/>
      <c r="W68" s="140"/>
      <c r="X68" s="140"/>
      <c r="Y68" s="140"/>
      <c r="Z68" s="140"/>
      <c r="AA68" s="140"/>
      <c r="AB68" s="140"/>
      <c r="AC68" s="141"/>
      <c r="AD68" s="141"/>
      <c r="AE68" s="141"/>
      <c r="AF68" s="141"/>
      <c r="AG68" s="141"/>
      <c r="AH68" s="141"/>
      <c r="AI68" s="141"/>
      <c r="AJ68" s="141"/>
      <c r="AK68" s="141"/>
      <c r="AL68" s="141"/>
      <c r="AM68" s="141"/>
      <c r="AN68" s="141"/>
      <c r="AO68" s="139"/>
      <c r="AP68" s="139"/>
      <c r="AQ68" s="139"/>
      <c r="AR68" s="139"/>
      <c r="AS68" s="139"/>
      <c r="AT68" s="139"/>
      <c r="AU68" s="142"/>
    </row>
    <row r="69" spans="1:47" ht="15.75" thickBot="1">
      <c r="A69" s="131"/>
      <c r="B69" s="132"/>
      <c r="C69" s="132"/>
      <c r="D69" s="132"/>
      <c r="E69" s="132"/>
      <c r="F69" s="132"/>
      <c r="G69" s="132"/>
      <c r="H69" s="132"/>
      <c r="I69" s="132"/>
      <c r="J69" s="132"/>
      <c r="K69" s="132"/>
      <c r="L69" s="132"/>
      <c r="M69" s="132"/>
      <c r="N69" s="132"/>
      <c r="O69" s="132"/>
      <c r="P69" s="132"/>
      <c r="Q69" s="132"/>
      <c r="R69" s="132"/>
      <c r="S69" s="132"/>
      <c r="T69" s="132"/>
      <c r="U69" s="132"/>
      <c r="V69" s="132"/>
      <c r="W69" s="132"/>
      <c r="X69" s="132"/>
      <c r="Y69" s="132"/>
      <c r="Z69" s="132"/>
      <c r="AA69" s="132"/>
      <c r="AB69" s="132"/>
      <c r="AC69" s="133"/>
      <c r="AD69" s="133"/>
      <c r="AE69" s="133"/>
      <c r="AF69" s="133"/>
      <c r="AG69" s="133"/>
      <c r="AH69" s="133"/>
      <c r="AI69" s="133"/>
      <c r="AJ69" s="133"/>
      <c r="AK69" s="133"/>
      <c r="AL69" s="133"/>
      <c r="AM69" s="133"/>
      <c r="AN69" s="133"/>
      <c r="AO69" s="134"/>
      <c r="AP69" s="134"/>
      <c r="AQ69" s="134"/>
      <c r="AR69" s="134"/>
      <c r="AS69" s="134"/>
      <c r="AT69" s="134"/>
      <c r="AU69" s="135"/>
    </row>
    <row r="70" spans="1:47" ht="15.75" thickBot="1">
      <c r="A70" s="116" t="s">
        <v>58</v>
      </c>
      <c r="B70" s="117"/>
      <c r="C70" s="117"/>
      <c r="D70" s="117"/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8" t="s">
        <v>59</v>
      </c>
      <c r="R70" s="118"/>
      <c r="S70" s="118"/>
      <c r="T70" s="118"/>
      <c r="U70" s="118"/>
      <c r="V70" s="118"/>
      <c r="W70" s="118"/>
      <c r="X70" s="118"/>
      <c r="Y70" s="118"/>
      <c r="Z70" s="117"/>
      <c r="AA70" s="117"/>
      <c r="AB70" s="117"/>
      <c r="AC70" s="117"/>
      <c r="AD70" s="117"/>
      <c r="AE70" s="117"/>
      <c r="AF70" s="117"/>
      <c r="AG70" s="117"/>
      <c r="AH70" s="117"/>
      <c r="AI70" s="117"/>
      <c r="AJ70" s="117"/>
      <c r="AK70" s="117"/>
      <c r="AL70" s="117"/>
      <c r="AM70" s="117"/>
      <c r="AN70" s="119"/>
      <c r="AO70" s="120" t="s">
        <v>60</v>
      </c>
      <c r="AP70" s="121"/>
      <c r="AQ70" s="122"/>
      <c r="AR70" s="123"/>
      <c r="AS70" s="123"/>
      <c r="AT70" s="123"/>
      <c r="AU70" s="124"/>
    </row>
  </sheetData>
  <sheetProtection algorithmName="SHA-512" hashValue="uiI8NQeEbh5mO0TmWz4LYTbpVV45Gvo5V2znOzcWmYuE+8Mz6Aw9huskOCjsezm8vbJ5gv3zqveWDchiThY01Q==" saltValue="CYB64mvSj1X9ezJqt75gBw==" spinCount="100000" sheet="1" selectLockedCells="1"/>
  <mergeCells count="465">
    <mergeCell ref="AN1:AQ1"/>
    <mergeCell ref="AR1:AU1"/>
    <mergeCell ref="AF2:AJ2"/>
    <mergeCell ref="AK2:AR2"/>
    <mergeCell ref="AS2:AU2"/>
    <mergeCell ref="A2:C2"/>
    <mergeCell ref="D2:G2"/>
    <mergeCell ref="H2:Q2"/>
    <mergeCell ref="R2:W2"/>
    <mergeCell ref="X2:AA2"/>
    <mergeCell ref="AB2:AE2"/>
    <mergeCell ref="A1:J1"/>
    <mergeCell ref="K1:X1"/>
    <mergeCell ref="Y1:Z1"/>
    <mergeCell ref="AA1:AM1"/>
    <mergeCell ref="AK3:AR3"/>
    <mergeCell ref="AS3:AU3"/>
    <mergeCell ref="A4:H4"/>
    <mergeCell ref="I4:Q4"/>
    <mergeCell ref="R4:W4"/>
    <mergeCell ref="X4:AA4"/>
    <mergeCell ref="AB4:AF4"/>
    <mergeCell ref="AG4:AK4"/>
    <mergeCell ref="AL4:AT4"/>
    <mergeCell ref="A3:C3"/>
    <mergeCell ref="D3:G3"/>
    <mergeCell ref="H3:Q3"/>
    <mergeCell ref="R3:W3"/>
    <mergeCell ref="X3:AA3"/>
    <mergeCell ref="AB3:AE3"/>
    <mergeCell ref="AF3:AJ3"/>
    <mergeCell ref="A5:AU5"/>
    <mergeCell ref="A6:D6"/>
    <mergeCell ref="E6:I6"/>
    <mergeCell ref="J6:O6"/>
    <mergeCell ref="P6:U6"/>
    <mergeCell ref="V6:AG6"/>
    <mergeCell ref="AH6:AL6"/>
    <mergeCell ref="AM6:AS6"/>
    <mergeCell ref="AT6:AU6"/>
    <mergeCell ref="AM7:AS7"/>
    <mergeCell ref="AT7:AU7"/>
    <mergeCell ref="A8:N8"/>
    <mergeCell ref="O8:U8"/>
    <mergeCell ref="V8:Y8"/>
    <mergeCell ref="Z8:AG8"/>
    <mergeCell ref="AH8:AL8"/>
    <mergeCell ref="AM8:AS8"/>
    <mergeCell ref="AT8:AU8"/>
    <mergeCell ref="A7:D7"/>
    <mergeCell ref="E7:I7"/>
    <mergeCell ref="J7:O7"/>
    <mergeCell ref="P7:U7"/>
    <mergeCell ref="V7:AG7"/>
    <mergeCell ref="AH7:AL7"/>
    <mergeCell ref="AT9:AU9"/>
    <mergeCell ref="A10:D10"/>
    <mergeCell ref="E10:I10"/>
    <mergeCell ref="J10:U10"/>
    <mergeCell ref="V10:Y10"/>
    <mergeCell ref="Z10:AL10"/>
    <mergeCell ref="AM10:AS10"/>
    <mergeCell ref="AT10:AU10"/>
    <mergeCell ref="A9:R9"/>
    <mergeCell ref="S9:U9"/>
    <mergeCell ref="V9:Y9"/>
    <mergeCell ref="Z9:AG9"/>
    <mergeCell ref="AH9:AL9"/>
    <mergeCell ref="AM9:AS9"/>
    <mergeCell ref="AM17:AS17"/>
    <mergeCell ref="AT17:AU17"/>
    <mergeCell ref="A18:D18"/>
    <mergeCell ref="E18:I18"/>
    <mergeCell ref="J18:U18"/>
    <mergeCell ref="V18:Y18"/>
    <mergeCell ref="Z18:AG18"/>
    <mergeCell ref="AH18:AL18"/>
    <mergeCell ref="AM18:AS18"/>
    <mergeCell ref="AT18:AU18"/>
    <mergeCell ref="A17:D17"/>
    <mergeCell ref="E17:I17"/>
    <mergeCell ref="J17:U17"/>
    <mergeCell ref="V17:Y17"/>
    <mergeCell ref="Z17:AG17"/>
    <mergeCell ref="AH17:AL17"/>
    <mergeCell ref="AM19:AS19"/>
    <mergeCell ref="AT19:AU19"/>
    <mergeCell ref="A20:D20"/>
    <mergeCell ref="E20:I20"/>
    <mergeCell ref="J20:U20"/>
    <mergeCell ref="V20:AG20"/>
    <mergeCell ref="AH20:AL20"/>
    <mergeCell ref="AM20:AS20"/>
    <mergeCell ref="AT20:AU20"/>
    <mergeCell ref="A19:D19"/>
    <mergeCell ref="E19:I19"/>
    <mergeCell ref="J19:U19"/>
    <mergeCell ref="V19:Y19"/>
    <mergeCell ref="Z19:AG19"/>
    <mergeCell ref="AH19:AL19"/>
    <mergeCell ref="AM22:AS22"/>
    <mergeCell ref="AT22:AU22"/>
    <mergeCell ref="A23:D23"/>
    <mergeCell ref="A21:D21"/>
    <mergeCell ref="E21:I21"/>
    <mergeCell ref="J21:O21"/>
    <mergeCell ref="P21:U21"/>
    <mergeCell ref="V21:Y21"/>
    <mergeCell ref="Z21:AG21"/>
    <mergeCell ref="AT24:AU24"/>
    <mergeCell ref="A25:D25"/>
    <mergeCell ref="E25:U25"/>
    <mergeCell ref="V25:Y25"/>
    <mergeCell ref="Z25:AG25"/>
    <mergeCell ref="AM25:AS25"/>
    <mergeCell ref="AT25:AU25"/>
    <mergeCell ref="E23:U23"/>
    <mergeCell ref="V23:Y23"/>
    <mergeCell ref="Z23:AG23"/>
    <mergeCell ref="AM23:AS23"/>
    <mergeCell ref="AT23:AU23"/>
    <mergeCell ref="A24:D24"/>
    <mergeCell ref="E24:U24"/>
    <mergeCell ref="V24:Y24"/>
    <mergeCell ref="Z24:AG24"/>
    <mergeCell ref="AM24:AS24"/>
    <mergeCell ref="AH21:AL26"/>
    <mergeCell ref="AM21:AS21"/>
    <mergeCell ref="AT21:AU21"/>
    <mergeCell ref="A22:D22"/>
    <mergeCell ref="E22:U22"/>
    <mergeCell ref="V22:Y22"/>
    <mergeCell ref="Z22:AG22"/>
    <mergeCell ref="A27:D27"/>
    <mergeCell ref="E27:U27"/>
    <mergeCell ref="V27:AG27"/>
    <mergeCell ref="AH27:AL27"/>
    <mergeCell ref="AM27:AS27"/>
    <mergeCell ref="AT27:AU27"/>
    <mergeCell ref="A26:D26"/>
    <mergeCell ref="E26:U26"/>
    <mergeCell ref="V26:Y26"/>
    <mergeCell ref="Z26:AG26"/>
    <mergeCell ref="AM26:AS26"/>
    <mergeCell ref="AT26:AU26"/>
    <mergeCell ref="AM28:AS28"/>
    <mergeCell ref="AT28:AU28"/>
    <mergeCell ref="B29:I29"/>
    <mergeCell ref="J29:O29"/>
    <mergeCell ref="P29:U29"/>
    <mergeCell ref="V29:Y29"/>
    <mergeCell ref="Z29:AG29"/>
    <mergeCell ref="AH29:AL29"/>
    <mergeCell ref="AM29:AS29"/>
    <mergeCell ref="AT29:AU29"/>
    <mergeCell ref="A28:D28"/>
    <mergeCell ref="E28:I28"/>
    <mergeCell ref="J28:O28"/>
    <mergeCell ref="AH28:AL28"/>
    <mergeCell ref="P28:U28"/>
    <mergeCell ref="V28:AG28"/>
    <mergeCell ref="AT30:AU30"/>
    <mergeCell ref="J31:O31"/>
    <mergeCell ref="P31:U31"/>
    <mergeCell ref="V31:Y31"/>
    <mergeCell ref="Z31:AG31"/>
    <mergeCell ref="AH31:AL31"/>
    <mergeCell ref="AM31:AS31"/>
    <mergeCell ref="AT31:AU31"/>
    <mergeCell ref="J30:O30"/>
    <mergeCell ref="P30:U30"/>
    <mergeCell ref="V30:AG30"/>
    <mergeCell ref="AH30:AL30"/>
    <mergeCell ref="AM30:AS30"/>
    <mergeCell ref="AH32:AL32"/>
    <mergeCell ref="AM32:AS32"/>
    <mergeCell ref="AT32:AU32"/>
    <mergeCell ref="A33:D33"/>
    <mergeCell ref="E33:U33"/>
    <mergeCell ref="V33:Y33"/>
    <mergeCell ref="Z33:AG33"/>
    <mergeCell ref="AH33:AL33"/>
    <mergeCell ref="AM33:AS33"/>
    <mergeCell ref="AT33:AU33"/>
    <mergeCell ref="A32:D32"/>
    <mergeCell ref="E32:I32"/>
    <mergeCell ref="J32:O32"/>
    <mergeCell ref="P32:U32"/>
    <mergeCell ref="V32:Y32"/>
    <mergeCell ref="Z32:AG32"/>
    <mergeCell ref="V36:AG36"/>
    <mergeCell ref="AH36:AL36"/>
    <mergeCell ref="AM36:AS36"/>
    <mergeCell ref="AT36:AU36"/>
    <mergeCell ref="AT34:AU34"/>
    <mergeCell ref="A35:D35"/>
    <mergeCell ref="E35:U35"/>
    <mergeCell ref="V35:Y35"/>
    <mergeCell ref="Z35:AG35"/>
    <mergeCell ref="AH35:AL35"/>
    <mergeCell ref="AM35:AS35"/>
    <mergeCell ref="AT35:AU35"/>
    <mergeCell ref="A34:D34"/>
    <mergeCell ref="E34:U34"/>
    <mergeCell ref="V34:Y34"/>
    <mergeCell ref="Z34:AG34"/>
    <mergeCell ref="AH34:AL34"/>
    <mergeCell ref="AM34:AS34"/>
    <mergeCell ref="AT38:AU38"/>
    <mergeCell ref="B39:I39"/>
    <mergeCell ref="J39:O39"/>
    <mergeCell ref="P39:U39"/>
    <mergeCell ref="V39:AG39"/>
    <mergeCell ref="AH39:AL39"/>
    <mergeCell ref="AM39:AS39"/>
    <mergeCell ref="AT39:AU39"/>
    <mergeCell ref="AH37:AL37"/>
    <mergeCell ref="AM37:AS37"/>
    <mergeCell ref="AT37:AU37"/>
    <mergeCell ref="B38:I38"/>
    <mergeCell ref="J38:O38"/>
    <mergeCell ref="P38:U38"/>
    <mergeCell ref="V38:Y38"/>
    <mergeCell ref="Z38:AG38"/>
    <mergeCell ref="AH38:AL38"/>
    <mergeCell ref="AM38:AS38"/>
    <mergeCell ref="A37:D37"/>
    <mergeCell ref="E37:I37"/>
    <mergeCell ref="J37:O37"/>
    <mergeCell ref="P37:U37"/>
    <mergeCell ref="V37:Y37"/>
    <mergeCell ref="Z37:AG37"/>
    <mergeCell ref="AT41:AU41"/>
    <mergeCell ref="A42:D42"/>
    <mergeCell ref="E42:U42"/>
    <mergeCell ref="V42:AG42"/>
    <mergeCell ref="AH42:AL42"/>
    <mergeCell ref="AM42:AS42"/>
    <mergeCell ref="AT42:AU42"/>
    <mergeCell ref="AM40:AS40"/>
    <mergeCell ref="AT40:AU40"/>
    <mergeCell ref="A41:D41"/>
    <mergeCell ref="E41:I41"/>
    <mergeCell ref="J41:O41"/>
    <mergeCell ref="P41:U41"/>
    <mergeCell ref="V41:Y41"/>
    <mergeCell ref="Z41:AG41"/>
    <mergeCell ref="AH41:AL41"/>
    <mergeCell ref="AM41:AS41"/>
    <mergeCell ref="B40:I40"/>
    <mergeCell ref="J40:O40"/>
    <mergeCell ref="P40:U40"/>
    <mergeCell ref="V40:Y40"/>
    <mergeCell ref="Z40:AG40"/>
    <mergeCell ref="AH40:AL40"/>
    <mergeCell ref="AT43:AU43"/>
    <mergeCell ref="B44:I44"/>
    <mergeCell ref="J44:O44"/>
    <mergeCell ref="P44:U44"/>
    <mergeCell ref="V44:Y44"/>
    <mergeCell ref="Z44:AG44"/>
    <mergeCell ref="AH44:AL44"/>
    <mergeCell ref="AM44:AS44"/>
    <mergeCell ref="AT44:AU44"/>
    <mergeCell ref="A43:D43"/>
    <mergeCell ref="E43:U43"/>
    <mergeCell ref="V43:Y43"/>
    <mergeCell ref="Z43:AG43"/>
    <mergeCell ref="AH43:AL43"/>
    <mergeCell ref="AM43:AS43"/>
    <mergeCell ref="AT45:AU45"/>
    <mergeCell ref="J46:O46"/>
    <mergeCell ref="P46:U46"/>
    <mergeCell ref="V46:Y46"/>
    <mergeCell ref="Z46:AG46"/>
    <mergeCell ref="AH46:AL46"/>
    <mergeCell ref="AM46:AS46"/>
    <mergeCell ref="AT46:AU46"/>
    <mergeCell ref="J45:O45"/>
    <mergeCell ref="P45:U45"/>
    <mergeCell ref="V45:AG45"/>
    <mergeCell ref="AH45:AL45"/>
    <mergeCell ref="AM45:AS45"/>
    <mergeCell ref="AT47:AU47"/>
    <mergeCell ref="A48:AU48"/>
    <mergeCell ref="A49:E49"/>
    <mergeCell ref="F49:I49"/>
    <mergeCell ref="J49:O49"/>
    <mergeCell ref="P49:AB49"/>
    <mergeCell ref="AC49:AL49"/>
    <mergeCell ref="AM49:AS49"/>
    <mergeCell ref="AT49:AU49"/>
    <mergeCell ref="A47:D47"/>
    <mergeCell ref="E47:U47"/>
    <mergeCell ref="V47:Y47"/>
    <mergeCell ref="Z47:AB47"/>
    <mergeCell ref="AC47:AL47"/>
    <mergeCell ref="AM47:AS47"/>
    <mergeCell ref="V53:AC53"/>
    <mergeCell ref="AD53:AP53"/>
    <mergeCell ref="AQ53:AU53"/>
    <mergeCell ref="AT50:AU50"/>
    <mergeCell ref="A51:AU51"/>
    <mergeCell ref="A52:L52"/>
    <mergeCell ref="M52:S52"/>
    <mergeCell ref="T52:Y52"/>
    <mergeCell ref="Z52:AC52"/>
    <mergeCell ref="AD52:AP52"/>
    <mergeCell ref="AQ52:AU52"/>
    <mergeCell ref="A50:E50"/>
    <mergeCell ref="F50:I50"/>
    <mergeCell ref="J50:O50"/>
    <mergeCell ref="P50:AB50"/>
    <mergeCell ref="AC50:AL50"/>
    <mergeCell ref="AM50:AS50"/>
    <mergeCell ref="AJ54:AP54"/>
    <mergeCell ref="AQ54:AS54"/>
    <mergeCell ref="AT54:AU54"/>
    <mergeCell ref="G55:L55"/>
    <mergeCell ref="M55:S55"/>
    <mergeCell ref="T55:U55"/>
    <mergeCell ref="V55:AC55"/>
    <mergeCell ref="AD55:AI55"/>
    <mergeCell ref="AJ55:AP55"/>
    <mergeCell ref="G54:L54"/>
    <mergeCell ref="M54:S54"/>
    <mergeCell ref="T54:U54"/>
    <mergeCell ref="V54:AC54"/>
    <mergeCell ref="AD54:AI54"/>
    <mergeCell ref="AQ55:AS55"/>
    <mergeCell ref="AT55:AU55"/>
    <mergeCell ref="V57:AC57"/>
    <mergeCell ref="AD57:AI57"/>
    <mergeCell ref="AJ57:AP57"/>
    <mergeCell ref="AQ57:AS57"/>
    <mergeCell ref="AT57:AU57"/>
    <mergeCell ref="A56:F56"/>
    <mergeCell ref="G56:L56"/>
    <mergeCell ref="M56:S56"/>
    <mergeCell ref="T56:U56"/>
    <mergeCell ref="V56:AC56"/>
    <mergeCell ref="AD56:AI56"/>
    <mergeCell ref="AJ56:AP56"/>
    <mergeCell ref="AQ56:AS56"/>
    <mergeCell ref="AT56:AU56"/>
    <mergeCell ref="AI66:AN66"/>
    <mergeCell ref="AP66:AS66"/>
    <mergeCell ref="AJ58:AP58"/>
    <mergeCell ref="AQ58:AS58"/>
    <mergeCell ref="AT58:AU58"/>
    <mergeCell ref="F59:K59"/>
    <mergeCell ref="L59:O59"/>
    <mergeCell ref="P59:U59"/>
    <mergeCell ref="V59:Y59"/>
    <mergeCell ref="Z59:AB59"/>
    <mergeCell ref="AC59:AL59"/>
    <mergeCell ref="A58:F58"/>
    <mergeCell ref="G58:L58"/>
    <mergeCell ref="M58:S58"/>
    <mergeCell ref="T58:U58"/>
    <mergeCell ref="V58:Y58"/>
    <mergeCell ref="Z58:AI58"/>
    <mergeCell ref="AM59:AS59"/>
    <mergeCell ref="AT59:AU59"/>
    <mergeCell ref="AE67:AH67"/>
    <mergeCell ref="AI67:AN67"/>
    <mergeCell ref="AP67:AS67"/>
    <mergeCell ref="AT67:AU67"/>
    <mergeCell ref="A68:B68"/>
    <mergeCell ref="C68:F68"/>
    <mergeCell ref="G68:M68"/>
    <mergeCell ref="N68:P68"/>
    <mergeCell ref="Q68:Y68"/>
    <mergeCell ref="Z68:AB68"/>
    <mergeCell ref="AC68:AN68"/>
    <mergeCell ref="AO68:AU68"/>
    <mergeCell ref="A67:B67"/>
    <mergeCell ref="C67:F67"/>
    <mergeCell ref="G67:M67"/>
    <mergeCell ref="N67:P67"/>
    <mergeCell ref="Q67:T67"/>
    <mergeCell ref="U67:V67"/>
    <mergeCell ref="W67:Y67"/>
    <mergeCell ref="Z67:AB67"/>
    <mergeCell ref="AC67:AD67"/>
    <mergeCell ref="N70:P70"/>
    <mergeCell ref="Q70:Y70"/>
    <mergeCell ref="Z70:AN70"/>
    <mergeCell ref="AO70:AP70"/>
    <mergeCell ref="AQ70:AU70"/>
    <mergeCell ref="A69:B69"/>
    <mergeCell ref="C69:F69"/>
    <mergeCell ref="G69:M69"/>
    <mergeCell ref="N69:P69"/>
    <mergeCell ref="Q69:Y69"/>
    <mergeCell ref="Z69:AB69"/>
    <mergeCell ref="AC69:AN69"/>
    <mergeCell ref="AO69:AP69"/>
    <mergeCell ref="AQ69:AU69"/>
    <mergeCell ref="A11:D11"/>
    <mergeCell ref="A12:D12"/>
    <mergeCell ref="A13:D13"/>
    <mergeCell ref="A14:D14"/>
    <mergeCell ref="A15:D15"/>
    <mergeCell ref="A16:D16"/>
    <mergeCell ref="E11:I11"/>
    <mergeCell ref="E16:I16"/>
    <mergeCell ref="A70:C70"/>
    <mergeCell ref="D70:F70"/>
    <mergeCell ref="G70:M70"/>
    <mergeCell ref="A60:AU60"/>
    <mergeCell ref="A61:AU65"/>
    <mergeCell ref="A66:B66"/>
    <mergeCell ref="C66:F66"/>
    <mergeCell ref="G66:M66"/>
    <mergeCell ref="N66:P66"/>
    <mergeCell ref="Q66:T66"/>
    <mergeCell ref="U66:V66"/>
    <mergeCell ref="AT66:AU66"/>
    <mergeCell ref="W66:Y66"/>
    <mergeCell ref="Z66:AB66"/>
    <mergeCell ref="AC66:AD66"/>
    <mergeCell ref="AE66:AH66"/>
    <mergeCell ref="E12:I12"/>
    <mergeCell ref="J12:U12"/>
    <mergeCell ref="E13:I13"/>
    <mergeCell ref="J13:U13"/>
    <mergeCell ref="E14:I14"/>
    <mergeCell ref="J14:U14"/>
    <mergeCell ref="E15:I15"/>
    <mergeCell ref="J15:U15"/>
    <mergeCell ref="A59:E59"/>
    <mergeCell ref="A55:F55"/>
    <mergeCell ref="A54:F54"/>
    <mergeCell ref="B46:I46"/>
    <mergeCell ref="B45:I45"/>
    <mergeCell ref="B31:I31"/>
    <mergeCell ref="B30:I30"/>
    <mergeCell ref="A57:F57"/>
    <mergeCell ref="G57:L57"/>
    <mergeCell ref="M57:S57"/>
    <mergeCell ref="T57:U57"/>
    <mergeCell ref="A53:F53"/>
    <mergeCell ref="G53:S53"/>
    <mergeCell ref="T53:U53"/>
    <mergeCell ref="A36:D36"/>
    <mergeCell ref="E36:U36"/>
    <mergeCell ref="J16:U16"/>
    <mergeCell ref="V11:AL11"/>
    <mergeCell ref="V12:AL12"/>
    <mergeCell ref="V14:AL14"/>
    <mergeCell ref="V16:AL16"/>
    <mergeCell ref="AM11:AU11"/>
    <mergeCell ref="AM12:AU12"/>
    <mergeCell ref="AM13:AU13"/>
    <mergeCell ref="AM14:AU14"/>
    <mergeCell ref="AM15:AU15"/>
    <mergeCell ref="AM16:AU16"/>
    <mergeCell ref="J11:U11"/>
    <mergeCell ref="AB13:AD13"/>
    <mergeCell ref="AB15:AD15"/>
    <mergeCell ref="AF13:AL13"/>
    <mergeCell ref="AF15:AL15"/>
    <mergeCell ref="V15:AA15"/>
    <mergeCell ref="V13:AA13"/>
  </mergeCells>
  <conditionalFormatting sqref="AM21:AS21">
    <cfRule type="cellIs" dxfId="10" priority="7" operator="notEqual">
      <formula>0</formula>
    </cfRule>
    <cfRule type="cellIs" dxfId="9" priority="8" operator="equal">
      <formula>0</formula>
    </cfRule>
  </conditionalFormatting>
  <conditionalFormatting sqref="AE13">
    <cfRule type="cellIs" dxfId="8" priority="5" operator="lessThanOrEqual">
      <formula>0.22</formula>
    </cfRule>
    <cfRule type="cellIs" dxfId="7" priority="6" operator="greaterThanOrEqual">
      <formula>0.23</formula>
    </cfRule>
  </conditionalFormatting>
  <conditionalFormatting sqref="AE15">
    <cfRule type="cellIs" dxfId="6" priority="1" operator="lessThanOrEqual">
      <formula>0.22</formula>
    </cfRule>
    <cfRule type="cellIs" dxfId="5" priority="2" operator="greaterThanOrEqual">
      <formula>0.23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1"/>
  <dimension ref="A1:Y71"/>
  <sheetViews>
    <sheetView workbookViewId="0">
      <selection activeCell="P6" sqref="P6:S10"/>
    </sheetView>
  </sheetViews>
  <sheetFormatPr baseColWidth="10" defaultColWidth="11.42578125" defaultRowHeight="15"/>
  <cols>
    <col min="1" max="1" width="13" bestFit="1" customWidth="1"/>
    <col min="2" max="2" width="24" customWidth="1"/>
    <col min="4" max="4" width="2.7109375" customWidth="1"/>
    <col min="8" max="10" width="10.7109375" bestFit="1" customWidth="1"/>
    <col min="12" max="12" width="2.28515625" bestFit="1" customWidth="1"/>
    <col min="13" max="13" width="4" bestFit="1" customWidth="1"/>
    <col min="16" max="16" width="10.28515625" style="21" bestFit="1" customWidth="1"/>
    <col min="17" max="17" width="7.5703125" style="21" bestFit="1" customWidth="1"/>
    <col min="20" max="20" width="2.140625" bestFit="1" customWidth="1"/>
    <col min="21" max="21" width="3" bestFit="1" customWidth="1"/>
    <col min="24" max="24" width="10.28515625" style="21" bestFit="1" customWidth="1"/>
    <col min="25" max="25" width="7.5703125" style="21" bestFit="1" customWidth="1"/>
  </cols>
  <sheetData>
    <row r="1" spans="1:19" ht="26.25" thickBot="1">
      <c r="A1" s="9" t="s">
        <v>68</v>
      </c>
      <c r="B1" s="10" t="s">
        <v>64</v>
      </c>
      <c r="C1" s="10" t="s">
        <v>61</v>
      </c>
      <c r="D1" s="10"/>
      <c r="E1" s="10" t="s">
        <v>65</v>
      </c>
      <c r="F1" s="10" t="s">
        <v>66</v>
      </c>
      <c r="G1" s="10" t="s">
        <v>67</v>
      </c>
      <c r="H1" s="10" t="s">
        <v>65</v>
      </c>
      <c r="I1" s="10" t="s">
        <v>66</v>
      </c>
      <c r="J1" s="34" t="s">
        <v>67</v>
      </c>
      <c r="K1" s="6"/>
    </row>
    <row r="2" spans="1:19" ht="15.75" thickBot="1">
      <c r="A2" s="328" t="s">
        <v>18</v>
      </c>
      <c r="B2" s="12">
        <v>1</v>
      </c>
      <c r="C2" s="13">
        <v>-9.51</v>
      </c>
      <c r="D2" s="12"/>
      <c r="E2" s="14">
        <f>((84*(C2))/620)</f>
        <v>-1.288451612903226</v>
      </c>
      <c r="F2" s="14">
        <f>((76*(C2))/620)</f>
        <v>-1.165741935483871</v>
      </c>
      <c r="G2" s="29">
        <f>((1*(C2))/620)</f>
        <v>-1.5338709677419354E-2</v>
      </c>
      <c r="H2" s="320">
        <f>AVERAGE(E2:E11)</f>
        <v>-0.82441935483870987</v>
      </c>
      <c r="I2" s="320">
        <f>AVERAGE(F2:F11)</f>
        <v>-0.74590322580645163</v>
      </c>
      <c r="J2" s="323">
        <v>-9.5200000000000007E-3</v>
      </c>
      <c r="K2" s="6"/>
    </row>
    <row r="3" spans="1:19" ht="15.75" thickBot="1">
      <c r="A3" s="329"/>
      <c r="B3" s="7">
        <v>2</v>
      </c>
      <c r="C3" s="11">
        <v>-8.75</v>
      </c>
      <c r="D3" s="8"/>
      <c r="E3" s="14">
        <f t="shared" ref="E3:E29" si="0">((84*(C3))/620)</f>
        <v>-1.185483870967742</v>
      </c>
      <c r="F3" s="14">
        <f t="shared" ref="F3:F29" si="1">((76*(C3))/620)</f>
        <v>-1.0725806451612903</v>
      </c>
      <c r="G3" s="29">
        <f t="shared" ref="G3:G29" si="2">((1*(C3))/620)</f>
        <v>-1.4112903225806451E-2</v>
      </c>
      <c r="H3" s="321"/>
      <c r="I3" s="321"/>
      <c r="J3" s="323"/>
      <c r="K3" s="6"/>
    </row>
    <row r="4" spans="1:19" ht="15.75" thickBot="1">
      <c r="A4" s="329"/>
      <c r="B4" s="7">
        <v>3</v>
      </c>
      <c r="C4" s="11">
        <v>-7.99</v>
      </c>
      <c r="D4" s="8"/>
      <c r="E4" s="14">
        <f t="shared" si="0"/>
        <v>-1.082516129032258</v>
      </c>
      <c r="F4" s="14">
        <f t="shared" si="1"/>
        <v>-0.97941935483870968</v>
      </c>
      <c r="G4" s="29">
        <f t="shared" si="2"/>
        <v>-1.2887096774193548E-2</v>
      </c>
      <c r="H4" s="321"/>
      <c r="I4" s="321"/>
      <c r="J4" s="323"/>
      <c r="K4" s="6"/>
    </row>
    <row r="5" spans="1:19" ht="15.75" thickBot="1">
      <c r="A5" s="329"/>
      <c r="B5" s="7">
        <v>4</v>
      </c>
      <c r="C5" s="11">
        <v>-7.23</v>
      </c>
      <c r="D5" s="8"/>
      <c r="E5" s="14">
        <f t="shared" si="0"/>
        <v>-0.97954838709677428</v>
      </c>
      <c r="F5" s="14">
        <f t="shared" si="1"/>
        <v>-0.8862580645161291</v>
      </c>
      <c r="G5" s="29">
        <f t="shared" si="2"/>
        <v>-1.1661290322580646E-2</v>
      </c>
      <c r="H5" s="321"/>
      <c r="I5" s="321"/>
      <c r="J5" s="323"/>
      <c r="K5" s="6"/>
    </row>
    <row r="6" spans="1:19" ht="15.75" thickBot="1">
      <c r="A6" s="329"/>
      <c r="B6" s="7">
        <v>5</v>
      </c>
      <c r="C6" s="11">
        <v>-6.47</v>
      </c>
      <c r="D6" s="8"/>
      <c r="E6" s="14">
        <f t="shared" si="0"/>
        <v>-0.87658064516129031</v>
      </c>
      <c r="F6" s="14">
        <f t="shared" si="1"/>
        <v>-0.79309677419354829</v>
      </c>
      <c r="G6" s="29">
        <f t="shared" si="2"/>
        <v>-1.0435483870967741E-2</v>
      </c>
      <c r="H6" s="321"/>
      <c r="I6" s="321"/>
      <c r="J6" s="323"/>
      <c r="K6" s="6">
        <f>AVERAGE(C2:C11)</f>
        <v>-6.0850000000000009</v>
      </c>
      <c r="P6" s="283" t="s">
        <v>240</v>
      </c>
      <c r="Q6" s="283"/>
      <c r="R6" s="283"/>
      <c r="S6" s="283"/>
    </row>
    <row r="7" spans="1:19" ht="15.75" thickBot="1">
      <c r="A7" s="329"/>
      <c r="B7" s="7">
        <v>6</v>
      </c>
      <c r="C7" s="11">
        <v>-5.7</v>
      </c>
      <c r="D7" s="8"/>
      <c r="E7" s="14">
        <f t="shared" si="0"/>
        <v>-0.77225806451612911</v>
      </c>
      <c r="F7" s="14">
        <f t="shared" si="1"/>
        <v>-0.69870967741935486</v>
      </c>
      <c r="G7" s="29">
        <f t="shared" si="2"/>
        <v>-9.1935483870967741E-3</v>
      </c>
      <c r="H7" s="321"/>
      <c r="I7" s="321"/>
      <c r="J7" s="323"/>
      <c r="K7" s="6"/>
      <c r="P7" s="283"/>
      <c r="Q7" s="283"/>
      <c r="R7" s="283"/>
      <c r="S7" s="283"/>
    </row>
    <row r="8" spans="1:19" ht="15.75" thickBot="1">
      <c r="A8" s="329"/>
      <c r="B8" s="7">
        <v>7</v>
      </c>
      <c r="C8" s="11">
        <v>-4.9400000000000004</v>
      </c>
      <c r="D8" s="8"/>
      <c r="E8" s="14">
        <f t="shared" si="0"/>
        <v>-0.66929032258064525</v>
      </c>
      <c r="F8" s="14">
        <f t="shared" si="1"/>
        <v>-0.60554838709677428</v>
      </c>
      <c r="G8" s="29">
        <f t="shared" si="2"/>
        <v>-7.9677419354838713E-3</v>
      </c>
      <c r="H8" s="321"/>
      <c r="I8" s="321"/>
      <c r="J8" s="323"/>
      <c r="K8" s="6"/>
      <c r="P8" s="283"/>
      <c r="Q8" s="283"/>
      <c r="R8" s="283"/>
      <c r="S8" s="283"/>
    </row>
    <row r="9" spans="1:19" ht="15.75" thickBot="1">
      <c r="A9" s="329"/>
      <c r="B9" s="7">
        <v>8</v>
      </c>
      <c r="C9" s="11">
        <v>-4.18</v>
      </c>
      <c r="D9" s="8"/>
      <c r="E9" s="14">
        <f t="shared" si="0"/>
        <v>-0.56632258064516128</v>
      </c>
      <c r="F9" s="14">
        <f t="shared" si="1"/>
        <v>-0.51238709677419347</v>
      </c>
      <c r="G9" s="29">
        <f t="shared" si="2"/>
        <v>-6.7419354838709677E-3</v>
      </c>
      <c r="H9" s="321"/>
      <c r="I9" s="321"/>
      <c r="J9" s="323"/>
      <c r="K9" s="6"/>
      <c r="P9" s="283"/>
      <c r="Q9" s="283"/>
      <c r="R9" s="283"/>
      <c r="S9" s="283"/>
    </row>
    <row r="10" spans="1:19" ht="15.75" thickBot="1">
      <c r="A10" s="329"/>
      <c r="B10" s="7">
        <v>9</v>
      </c>
      <c r="C10" s="11">
        <v>-3.42</v>
      </c>
      <c r="D10" s="8"/>
      <c r="E10" s="14">
        <f t="shared" si="0"/>
        <v>-0.46335483870967736</v>
      </c>
      <c r="F10" s="14">
        <f t="shared" si="1"/>
        <v>-0.41922580645161295</v>
      </c>
      <c r="G10" s="29">
        <f t="shared" si="2"/>
        <v>-5.5161290322580641E-3</v>
      </c>
      <c r="H10" s="321"/>
      <c r="I10" s="321"/>
      <c r="J10" s="323"/>
      <c r="K10" s="6"/>
      <c r="P10" s="283"/>
      <c r="Q10" s="283"/>
      <c r="R10" s="283"/>
      <c r="S10" s="283"/>
    </row>
    <row r="11" spans="1:19" ht="15.75" thickBot="1">
      <c r="A11" s="330"/>
      <c r="B11" s="7">
        <v>10</v>
      </c>
      <c r="C11" s="11">
        <v>-2.66</v>
      </c>
      <c r="D11" s="8"/>
      <c r="E11" s="14">
        <f t="shared" si="0"/>
        <v>-0.36038709677419356</v>
      </c>
      <c r="F11" s="14">
        <f t="shared" si="1"/>
        <v>-0.32606451612903231</v>
      </c>
      <c r="G11" s="29">
        <f t="shared" si="2"/>
        <v>-4.2903225806451614E-3</v>
      </c>
      <c r="H11" s="322"/>
      <c r="I11" s="322"/>
      <c r="J11" s="323"/>
      <c r="K11" s="6"/>
    </row>
    <row r="12" spans="1:19" ht="15.75" thickBot="1">
      <c r="A12" s="324" t="s">
        <v>20</v>
      </c>
      <c r="B12" s="7">
        <v>11</v>
      </c>
      <c r="C12" s="11">
        <v>-1.66</v>
      </c>
      <c r="D12" s="8"/>
      <c r="E12" s="14">
        <f t="shared" si="0"/>
        <v>-0.22490322580645161</v>
      </c>
      <c r="F12" s="14">
        <f t="shared" si="1"/>
        <v>-0.20348387096774193</v>
      </c>
      <c r="G12" s="29">
        <f t="shared" si="2"/>
        <v>-2.6774193548387095E-3</v>
      </c>
      <c r="H12" s="312">
        <f>AVERAGE(E12:E20)</f>
        <v>0.17432258064516129</v>
      </c>
      <c r="I12" s="312">
        <f>AVERAGE(F12:F20)</f>
        <v>0.1577204301075269</v>
      </c>
      <c r="J12" s="315">
        <v>2.0699999999999998E-3</v>
      </c>
      <c r="K12" s="6"/>
    </row>
    <row r="13" spans="1:19" ht="15.75" thickBot="1">
      <c r="A13" s="324"/>
      <c r="B13" s="7">
        <v>12</v>
      </c>
      <c r="C13" s="11">
        <v>-0.92</v>
      </c>
      <c r="D13" s="8"/>
      <c r="E13" s="14">
        <f t="shared" si="0"/>
        <v>-0.12464516129032258</v>
      </c>
      <c r="F13" s="14">
        <f t="shared" si="1"/>
        <v>-0.11277419354838709</v>
      </c>
      <c r="G13" s="29">
        <f t="shared" si="2"/>
        <v>-1.4838709677419356E-3</v>
      </c>
      <c r="H13" s="312"/>
      <c r="I13" s="312"/>
      <c r="J13" s="315"/>
      <c r="K13" s="6"/>
    </row>
    <row r="14" spans="1:19" ht="15.75" thickBot="1">
      <c r="A14" s="324"/>
      <c r="B14" s="7">
        <v>14</v>
      </c>
      <c r="C14" s="11">
        <v>-0.19</v>
      </c>
      <c r="D14" s="8"/>
      <c r="E14" s="14">
        <f t="shared" si="0"/>
        <v>-2.5741935483870968E-2</v>
      </c>
      <c r="F14" s="14">
        <f t="shared" si="1"/>
        <v>-2.3290322580645159E-2</v>
      </c>
      <c r="G14" s="29">
        <f t="shared" si="2"/>
        <v>-3.064516129032258E-4</v>
      </c>
      <c r="H14" s="312"/>
      <c r="I14" s="312"/>
      <c r="J14" s="315"/>
      <c r="K14" s="6"/>
    </row>
    <row r="15" spans="1:19" ht="15" customHeight="1" thickBot="1">
      <c r="A15" s="324"/>
      <c r="B15" s="7">
        <v>15</v>
      </c>
      <c r="C15" s="11">
        <v>0.55000000000000004</v>
      </c>
      <c r="D15" s="8"/>
      <c r="E15" s="14">
        <f t="shared" si="0"/>
        <v>7.4516129032258072E-2</v>
      </c>
      <c r="F15" s="14">
        <f t="shared" si="1"/>
        <v>6.7419354838709686E-2</v>
      </c>
      <c r="G15" s="29">
        <f t="shared" si="2"/>
        <v>8.8709677419354844E-4</v>
      </c>
      <c r="H15" s="312"/>
      <c r="I15" s="312"/>
      <c r="J15" s="315"/>
      <c r="K15" s="6">
        <f>AVERAGE(C12:C20)</f>
        <v>1.2866666666666666</v>
      </c>
    </row>
    <row r="16" spans="1:19" ht="15" customHeight="1" thickBot="1">
      <c r="A16" s="324"/>
      <c r="B16" s="7">
        <v>16</v>
      </c>
      <c r="C16" s="11">
        <v>1.29</v>
      </c>
      <c r="D16" s="8"/>
      <c r="E16" s="14">
        <f t="shared" si="0"/>
        <v>0.17477419354838711</v>
      </c>
      <c r="F16" s="14">
        <f t="shared" si="1"/>
        <v>0.15812903225806452</v>
      </c>
      <c r="G16" s="29">
        <f t="shared" si="2"/>
        <v>2.0806451612903226E-3</v>
      </c>
      <c r="H16" s="312"/>
      <c r="I16" s="312"/>
      <c r="J16" s="315"/>
      <c r="K16" s="6"/>
    </row>
    <row r="17" spans="1:25" ht="15" customHeight="1" thickBot="1">
      <c r="A17" s="324"/>
      <c r="B17" s="7">
        <v>17</v>
      </c>
      <c r="C17" s="11">
        <v>2.02</v>
      </c>
      <c r="D17" s="8"/>
      <c r="E17" s="14">
        <f t="shared" si="0"/>
        <v>0.27367741935483875</v>
      </c>
      <c r="F17" s="14">
        <f t="shared" si="1"/>
        <v>0.24761290322580648</v>
      </c>
      <c r="G17" s="29">
        <f t="shared" si="2"/>
        <v>3.2580645161290325E-3</v>
      </c>
      <c r="H17" s="312"/>
      <c r="I17" s="312"/>
      <c r="J17" s="315"/>
      <c r="K17" s="6"/>
    </row>
    <row r="18" spans="1:25" ht="15" customHeight="1" thickBot="1">
      <c r="A18" s="324"/>
      <c r="B18" s="7">
        <v>18</v>
      </c>
      <c r="C18" s="11">
        <v>2.76</v>
      </c>
      <c r="D18" s="8"/>
      <c r="E18" s="14">
        <f t="shared" si="0"/>
        <v>0.3739354838709677</v>
      </c>
      <c r="F18" s="14">
        <f t="shared" si="1"/>
        <v>0.3383225806451613</v>
      </c>
      <c r="G18" s="29">
        <f t="shared" si="2"/>
        <v>4.4516129032258064E-3</v>
      </c>
      <c r="H18" s="312"/>
      <c r="I18" s="312"/>
      <c r="J18" s="315"/>
      <c r="K18" s="6"/>
    </row>
    <row r="19" spans="1:25" ht="15" customHeight="1" thickBot="1">
      <c r="A19" s="325"/>
      <c r="B19" s="35">
        <v>19</v>
      </c>
      <c r="C19" s="36">
        <v>3.5</v>
      </c>
      <c r="D19" s="37"/>
      <c r="E19" s="14">
        <f t="shared" si="0"/>
        <v>0.47419354838709676</v>
      </c>
      <c r="F19" s="14">
        <f t="shared" si="1"/>
        <v>0.42903225806451611</v>
      </c>
      <c r="G19" s="29">
        <f t="shared" si="2"/>
        <v>5.6451612903225803E-3</v>
      </c>
      <c r="H19" s="313"/>
      <c r="I19" s="313"/>
      <c r="J19" s="316"/>
      <c r="K19" s="6"/>
    </row>
    <row r="20" spans="1:25" ht="15" customHeight="1" thickBot="1">
      <c r="A20" s="326"/>
      <c r="B20" s="15">
        <v>20</v>
      </c>
      <c r="C20" s="16">
        <v>4.2300000000000004</v>
      </c>
      <c r="D20" s="17"/>
      <c r="E20" s="14">
        <f t="shared" si="0"/>
        <v>0.57309677419354843</v>
      </c>
      <c r="F20" s="14">
        <f t="shared" si="1"/>
        <v>0.51851612903225808</v>
      </c>
      <c r="G20" s="29">
        <f t="shared" si="2"/>
        <v>6.8225806451612907E-3</v>
      </c>
      <c r="H20" s="314"/>
      <c r="I20" s="314"/>
      <c r="J20" s="317"/>
      <c r="K20" s="6"/>
    </row>
    <row r="21" spans="1:25" ht="15" customHeight="1" thickBot="1">
      <c r="A21" s="327" t="s">
        <v>23</v>
      </c>
      <c r="B21" s="12">
        <v>21</v>
      </c>
      <c r="C21" s="18">
        <v>4.97</v>
      </c>
      <c r="D21" s="19"/>
      <c r="E21" s="14">
        <f t="shared" si="0"/>
        <v>0.67335483870967738</v>
      </c>
      <c r="F21" s="14">
        <f t="shared" si="1"/>
        <v>0.60922580645161284</v>
      </c>
      <c r="G21" s="29">
        <f t="shared" si="2"/>
        <v>8.0161290322580646E-3</v>
      </c>
      <c r="H21" s="318">
        <f>AVERAGE(E21:E29)</f>
        <v>1.0725806451612905</v>
      </c>
      <c r="I21" s="318">
        <f>AVERAGE(F21:F29)</f>
        <v>0.97043010752688152</v>
      </c>
      <c r="J21" s="319">
        <v>1.277E-2</v>
      </c>
      <c r="K21" s="6"/>
    </row>
    <row r="22" spans="1:25" ht="15" customHeight="1" thickBot="1">
      <c r="A22" s="324"/>
      <c r="B22" s="7">
        <v>22</v>
      </c>
      <c r="C22" s="11">
        <v>5.71</v>
      </c>
      <c r="D22" s="8"/>
      <c r="E22" s="14">
        <f t="shared" si="0"/>
        <v>0.77361290322580645</v>
      </c>
      <c r="F22" s="14">
        <f t="shared" si="1"/>
        <v>0.69993548387096771</v>
      </c>
      <c r="G22" s="29">
        <f t="shared" si="2"/>
        <v>9.2096774193548385E-3</v>
      </c>
      <c r="H22" s="312"/>
      <c r="I22" s="312"/>
      <c r="J22" s="315"/>
      <c r="K22" s="6"/>
    </row>
    <row r="23" spans="1:25" ht="15" customHeight="1" thickBot="1">
      <c r="A23" s="324"/>
      <c r="B23" s="7">
        <v>23</v>
      </c>
      <c r="C23" s="11">
        <v>6.44</v>
      </c>
      <c r="D23" s="8"/>
      <c r="E23" s="14">
        <f t="shared" si="0"/>
        <v>0.87251612903225817</v>
      </c>
      <c r="F23" s="14">
        <f t="shared" si="1"/>
        <v>0.78941935483870973</v>
      </c>
      <c r="G23" s="29">
        <f t="shared" si="2"/>
        <v>1.038709677419355E-2</v>
      </c>
      <c r="H23" s="312"/>
      <c r="I23" s="312"/>
      <c r="J23" s="315"/>
      <c r="K23" s="6"/>
    </row>
    <row r="24" spans="1:25" ht="15.75" thickBot="1">
      <c r="A24" s="324"/>
      <c r="B24" s="7">
        <v>24</v>
      </c>
      <c r="C24" s="11">
        <v>7.18</v>
      </c>
      <c r="D24" s="8"/>
      <c r="E24" s="14">
        <f t="shared" si="0"/>
        <v>0.97277419354838712</v>
      </c>
      <c r="F24" s="14">
        <f t="shared" si="1"/>
        <v>0.88012903225806438</v>
      </c>
      <c r="G24" s="29">
        <f t="shared" si="2"/>
        <v>1.1580645161290322E-2</v>
      </c>
      <c r="H24" s="312"/>
      <c r="I24" s="312"/>
      <c r="J24" s="315"/>
    </row>
    <row r="25" spans="1:25" ht="15.75" thickBot="1">
      <c r="A25" s="324"/>
      <c r="B25" s="7">
        <v>25</v>
      </c>
      <c r="C25" s="11">
        <v>7.92</v>
      </c>
      <c r="D25" s="8"/>
      <c r="E25" s="14">
        <f t="shared" si="0"/>
        <v>1.0730322580645162</v>
      </c>
      <c r="F25" s="14">
        <f t="shared" si="1"/>
        <v>0.97083870967741925</v>
      </c>
      <c r="G25" s="29">
        <f t="shared" si="2"/>
        <v>1.2774193548387096E-2</v>
      </c>
      <c r="H25" s="312"/>
      <c r="I25" s="312"/>
      <c r="J25" s="315"/>
      <c r="K25" s="28">
        <f>AVERAGE(C21:C29)</f>
        <v>7.916666666666667</v>
      </c>
    </row>
    <row r="26" spans="1:25" ht="15.75" thickBot="1">
      <c r="A26" s="324"/>
      <c r="B26" s="7">
        <v>26</v>
      </c>
      <c r="C26" s="11">
        <v>8.65</v>
      </c>
      <c r="D26" s="8"/>
      <c r="E26" s="14">
        <f t="shared" si="0"/>
        <v>1.1719354838709677</v>
      </c>
      <c r="F26" s="14">
        <f t="shared" si="1"/>
        <v>1.0603225806451613</v>
      </c>
      <c r="G26" s="29">
        <f t="shared" si="2"/>
        <v>1.3951612903225807E-2</v>
      </c>
      <c r="H26" s="312"/>
      <c r="I26" s="312"/>
      <c r="J26" s="315"/>
    </row>
    <row r="27" spans="1:25" ht="15.75" thickBot="1">
      <c r="A27" s="324"/>
      <c r="B27" s="7">
        <v>27</v>
      </c>
      <c r="C27" s="11">
        <v>9.39</v>
      </c>
      <c r="D27" s="8"/>
      <c r="E27" s="14">
        <f t="shared" si="0"/>
        <v>1.2721935483870968</v>
      </c>
      <c r="F27" s="14">
        <f t="shared" si="1"/>
        <v>1.1510322580645163</v>
      </c>
      <c r="G27" s="29">
        <f t="shared" si="2"/>
        <v>1.5145161290322581E-2</v>
      </c>
      <c r="H27" s="312"/>
      <c r="I27" s="312"/>
      <c r="J27" s="315"/>
    </row>
    <row r="28" spans="1:25" ht="15.75" thickBot="1">
      <c r="A28" s="324"/>
      <c r="B28" s="7">
        <v>28</v>
      </c>
      <c r="C28" s="11">
        <v>10.130000000000001</v>
      </c>
      <c r="D28" s="8"/>
      <c r="E28" s="14">
        <f t="shared" si="0"/>
        <v>1.3724516129032258</v>
      </c>
      <c r="F28" s="14">
        <f t="shared" si="1"/>
        <v>1.2417419354838712</v>
      </c>
      <c r="G28" s="29">
        <f t="shared" si="2"/>
        <v>1.6338709677419357E-2</v>
      </c>
      <c r="H28" s="312"/>
      <c r="I28" s="312"/>
      <c r="J28" s="315"/>
    </row>
    <row r="29" spans="1:25">
      <c r="A29" s="324"/>
      <c r="B29" s="7">
        <v>29</v>
      </c>
      <c r="C29" s="11">
        <v>10.86</v>
      </c>
      <c r="D29" s="8"/>
      <c r="E29" s="14">
        <f t="shared" si="0"/>
        <v>1.4713548387096775</v>
      </c>
      <c r="F29" s="14">
        <f t="shared" si="1"/>
        <v>1.3312258064516127</v>
      </c>
      <c r="G29" s="29">
        <f t="shared" si="2"/>
        <v>1.7516129032258063E-2</v>
      </c>
      <c r="H29" s="312"/>
      <c r="I29" s="312"/>
      <c r="J29" s="315"/>
    </row>
    <row r="31" spans="1:25">
      <c r="H31" t="s">
        <v>75</v>
      </c>
      <c r="I31" t="s">
        <v>76</v>
      </c>
      <c r="P31" t="s">
        <v>75</v>
      </c>
      <c r="Q31" t="s">
        <v>76</v>
      </c>
      <c r="X31" t="s">
        <v>75</v>
      </c>
      <c r="Y31" t="s">
        <v>76</v>
      </c>
    </row>
    <row r="32" spans="1:25">
      <c r="D32" t="s">
        <v>18</v>
      </c>
      <c r="E32">
        <v>1</v>
      </c>
      <c r="F32">
        <f>$H$2*E32</f>
        <v>-0.82441935483870987</v>
      </c>
      <c r="G32">
        <f>$I$2*E32</f>
        <v>-0.74590322580645163</v>
      </c>
      <c r="H32" s="21">
        <f>ROUND(F32,0)</f>
        <v>-1</v>
      </c>
      <c r="I32" s="21">
        <f>ROUND(G32,0)</f>
        <v>-1</v>
      </c>
      <c r="L32" t="s">
        <v>20</v>
      </c>
      <c r="M32">
        <v>1</v>
      </c>
      <c r="N32">
        <f>$H$12*M32</f>
        <v>0.17432258064516129</v>
      </c>
      <c r="O32">
        <f>$I$12*M32</f>
        <v>0.1577204301075269</v>
      </c>
      <c r="P32" s="21">
        <f>ROUND(N32,0)</f>
        <v>0</v>
      </c>
      <c r="Q32" s="21">
        <f>ROUND(O32,0)</f>
        <v>0</v>
      </c>
      <c r="T32" t="s">
        <v>23</v>
      </c>
      <c r="U32">
        <v>1</v>
      </c>
      <c r="V32">
        <f>$H$21*U32</f>
        <v>1.0725806451612905</v>
      </c>
      <c r="W32">
        <f>$I$21*U32</f>
        <v>0.97043010752688152</v>
      </c>
      <c r="X32" s="21">
        <f>ROUND(V32,0)</f>
        <v>1</v>
      </c>
      <c r="Y32" s="21">
        <f>ROUND(W32,0)</f>
        <v>1</v>
      </c>
    </row>
    <row r="33" spans="4:25">
      <c r="D33" t="s">
        <v>18</v>
      </c>
      <c r="E33">
        <v>2</v>
      </c>
      <c r="F33">
        <f t="shared" ref="F33:F63" si="3">$H$2*E33</f>
        <v>-1.6488387096774197</v>
      </c>
      <c r="G33">
        <f t="shared" ref="G33:G63" si="4">$I$2*E33</f>
        <v>-1.4918064516129033</v>
      </c>
      <c r="H33" s="21">
        <f t="shared" ref="H33:H63" si="5">ROUND(F33,0)</f>
        <v>-2</v>
      </c>
      <c r="I33" s="21">
        <f t="shared" ref="I33:I63" si="6">ROUND(G33,0)</f>
        <v>-1</v>
      </c>
      <c r="L33" t="s">
        <v>20</v>
      </c>
      <c r="M33">
        <v>2</v>
      </c>
      <c r="N33">
        <f t="shared" ref="N33:N71" si="7">$H$12*M33</f>
        <v>0.34864516129032258</v>
      </c>
      <c r="O33">
        <f t="shared" ref="O33:O71" si="8">$I$12*M33</f>
        <v>0.3154408602150538</v>
      </c>
      <c r="P33" s="21">
        <f t="shared" ref="P33:P71" si="9">ROUND(N33,0)</f>
        <v>0</v>
      </c>
      <c r="Q33" s="21">
        <f t="shared" ref="Q33:Q71" si="10">ROUND(O33,0)</f>
        <v>0</v>
      </c>
      <c r="T33" t="s">
        <v>23</v>
      </c>
      <c r="U33">
        <v>2</v>
      </c>
      <c r="V33">
        <f t="shared" ref="V33:V71" si="11">$H$21*U33</f>
        <v>2.145161290322581</v>
      </c>
      <c r="W33">
        <f t="shared" ref="W33:W71" si="12">$I$21*U33</f>
        <v>1.940860215053763</v>
      </c>
      <c r="X33" s="21">
        <f t="shared" ref="X33:X71" si="13">ROUND(V33,0)</f>
        <v>2</v>
      </c>
      <c r="Y33" s="21">
        <f t="shared" ref="Y33:Y71" si="14">ROUND(W33,0)</f>
        <v>2</v>
      </c>
    </row>
    <row r="34" spans="4:25">
      <c r="D34" t="s">
        <v>18</v>
      </c>
      <c r="E34">
        <v>3</v>
      </c>
      <c r="F34">
        <f t="shared" si="3"/>
        <v>-2.4732580645161297</v>
      </c>
      <c r="G34">
        <f t="shared" si="4"/>
        <v>-2.237709677419355</v>
      </c>
      <c r="H34" s="21">
        <f t="shared" si="5"/>
        <v>-2</v>
      </c>
      <c r="I34" s="21">
        <f t="shared" si="6"/>
        <v>-2</v>
      </c>
      <c r="L34" t="s">
        <v>20</v>
      </c>
      <c r="M34">
        <v>3</v>
      </c>
      <c r="N34">
        <f t="shared" si="7"/>
        <v>0.5229677419354839</v>
      </c>
      <c r="O34">
        <f t="shared" si="8"/>
        <v>0.4731612903225807</v>
      </c>
      <c r="P34" s="21">
        <f t="shared" si="9"/>
        <v>1</v>
      </c>
      <c r="Q34" s="21">
        <f t="shared" si="10"/>
        <v>0</v>
      </c>
      <c r="T34" t="s">
        <v>23</v>
      </c>
      <c r="U34">
        <v>3</v>
      </c>
      <c r="V34">
        <f t="shared" si="11"/>
        <v>3.2177419354838714</v>
      </c>
      <c r="W34">
        <f t="shared" si="12"/>
        <v>2.9112903225806446</v>
      </c>
      <c r="X34" s="21">
        <f t="shared" si="13"/>
        <v>3</v>
      </c>
      <c r="Y34" s="21">
        <f t="shared" si="14"/>
        <v>3</v>
      </c>
    </row>
    <row r="35" spans="4:25">
      <c r="D35" t="s">
        <v>18</v>
      </c>
      <c r="E35">
        <v>4</v>
      </c>
      <c r="F35">
        <f t="shared" si="3"/>
        <v>-3.2976774193548395</v>
      </c>
      <c r="G35">
        <f t="shared" si="4"/>
        <v>-2.9836129032258065</v>
      </c>
      <c r="H35" s="21">
        <f t="shared" si="5"/>
        <v>-3</v>
      </c>
      <c r="I35" s="21">
        <f t="shared" si="6"/>
        <v>-3</v>
      </c>
      <c r="L35" t="s">
        <v>20</v>
      </c>
      <c r="M35">
        <v>4</v>
      </c>
      <c r="N35">
        <f t="shared" si="7"/>
        <v>0.69729032258064516</v>
      </c>
      <c r="O35">
        <f t="shared" si="8"/>
        <v>0.6308817204301076</v>
      </c>
      <c r="P35" s="21">
        <f t="shared" si="9"/>
        <v>1</v>
      </c>
      <c r="Q35" s="21">
        <f t="shared" si="10"/>
        <v>1</v>
      </c>
      <c r="T35" t="s">
        <v>23</v>
      </c>
      <c r="U35">
        <v>4</v>
      </c>
      <c r="V35">
        <f t="shared" si="11"/>
        <v>4.2903225806451619</v>
      </c>
      <c r="W35">
        <f t="shared" si="12"/>
        <v>3.8817204301075261</v>
      </c>
      <c r="X35" s="21">
        <f t="shared" si="13"/>
        <v>4</v>
      </c>
      <c r="Y35" s="21">
        <f t="shared" si="14"/>
        <v>4</v>
      </c>
    </row>
    <row r="36" spans="4:25">
      <c r="D36" t="s">
        <v>18</v>
      </c>
      <c r="E36">
        <v>5</v>
      </c>
      <c r="F36">
        <f t="shared" si="3"/>
        <v>-4.1220967741935493</v>
      </c>
      <c r="G36">
        <f t="shared" si="4"/>
        <v>-3.729516129032258</v>
      </c>
      <c r="H36" s="21">
        <f t="shared" si="5"/>
        <v>-4</v>
      </c>
      <c r="I36" s="21">
        <f t="shared" si="6"/>
        <v>-4</v>
      </c>
      <c r="L36" t="s">
        <v>20</v>
      </c>
      <c r="M36">
        <v>5</v>
      </c>
      <c r="N36">
        <f t="shared" si="7"/>
        <v>0.87161290322580642</v>
      </c>
      <c r="O36">
        <f t="shared" si="8"/>
        <v>0.78860215053763449</v>
      </c>
      <c r="P36" s="21">
        <f t="shared" si="9"/>
        <v>1</v>
      </c>
      <c r="Q36" s="21">
        <f t="shared" si="10"/>
        <v>1</v>
      </c>
      <c r="T36" t="s">
        <v>23</v>
      </c>
      <c r="U36">
        <v>5</v>
      </c>
      <c r="V36">
        <f t="shared" si="11"/>
        <v>5.362903225806452</v>
      </c>
      <c r="W36">
        <f t="shared" si="12"/>
        <v>4.8521505376344081</v>
      </c>
      <c r="X36" s="21">
        <f t="shared" si="13"/>
        <v>5</v>
      </c>
      <c r="Y36" s="21">
        <f t="shared" si="14"/>
        <v>5</v>
      </c>
    </row>
    <row r="37" spans="4:25">
      <c r="D37" t="s">
        <v>18</v>
      </c>
      <c r="E37">
        <v>6</v>
      </c>
      <c r="F37">
        <f t="shared" si="3"/>
        <v>-4.9465161290322595</v>
      </c>
      <c r="G37">
        <f t="shared" si="4"/>
        <v>-4.47541935483871</v>
      </c>
      <c r="H37" s="21">
        <f t="shared" si="5"/>
        <v>-5</v>
      </c>
      <c r="I37" s="21">
        <f t="shared" si="6"/>
        <v>-4</v>
      </c>
      <c r="L37" t="s">
        <v>20</v>
      </c>
      <c r="M37">
        <v>6</v>
      </c>
      <c r="N37">
        <f t="shared" si="7"/>
        <v>1.0459354838709678</v>
      </c>
      <c r="O37">
        <f t="shared" si="8"/>
        <v>0.94632258064516139</v>
      </c>
      <c r="P37" s="21">
        <f t="shared" si="9"/>
        <v>1</v>
      </c>
      <c r="Q37" s="21">
        <f t="shared" si="10"/>
        <v>1</v>
      </c>
      <c r="T37" t="s">
        <v>23</v>
      </c>
      <c r="U37">
        <v>6</v>
      </c>
      <c r="V37">
        <f t="shared" si="11"/>
        <v>6.4354838709677429</v>
      </c>
      <c r="W37">
        <f t="shared" si="12"/>
        <v>5.8225806451612891</v>
      </c>
      <c r="X37" s="21">
        <f t="shared" si="13"/>
        <v>6</v>
      </c>
      <c r="Y37" s="21">
        <f t="shared" si="14"/>
        <v>6</v>
      </c>
    </row>
    <row r="38" spans="4:25">
      <c r="D38" t="s">
        <v>18</v>
      </c>
      <c r="E38">
        <v>7</v>
      </c>
      <c r="F38">
        <f t="shared" si="3"/>
        <v>-5.7709354838709688</v>
      </c>
      <c r="G38">
        <f t="shared" si="4"/>
        <v>-5.2213225806451611</v>
      </c>
      <c r="H38" s="21">
        <f t="shared" si="5"/>
        <v>-6</v>
      </c>
      <c r="I38" s="21">
        <f t="shared" si="6"/>
        <v>-5</v>
      </c>
      <c r="L38" t="s">
        <v>20</v>
      </c>
      <c r="M38">
        <v>7</v>
      </c>
      <c r="N38">
        <f t="shared" si="7"/>
        <v>1.2202580645161289</v>
      </c>
      <c r="O38">
        <f t="shared" si="8"/>
        <v>1.1040430107526884</v>
      </c>
      <c r="P38" s="21">
        <f t="shared" si="9"/>
        <v>1</v>
      </c>
      <c r="Q38" s="21">
        <f t="shared" si="10"/>
        <v>1</v>
      </c>
      <c r="T38" t="s">
        <v>23</v>
      </c>
      <c r="U38">
        <v>7</v>
      </c>
      <c r="V38">
        <f t="shared" si="11"/>
        <v>7.5080645161290338</v>
      </c>
      <c r="W38">
        <f t="shared" si="12"/>
        <v>6.7930107526881702</v>
      </c>
      <c r="X38" s="21">
        <f t="shared" si="13"/>
        <v>8</v>
      </c>
      <c r="Y38" s="21">
        <f t="shared" si="14"/>
        <v>7</v>
      </c>
    </row>
    <row r="39" spans="4:25">
      <c r="D39" t="s">
        <v>18</v>
      </c>
      <c r="E39">
        <v>8</v>
      </c>
      <c r="F39">
        <f t="shared" si="3"/>
        <v>-6.595354838709679</v>
      </c>
      <c r="G39">
        <f t="shared" si="4"/>
        <v>-5.967225806451613</v>
      </c>
      <c r="H39" s="21">
        <f t="shared" si="5"/>
        <v>-7</v>
      </c>
      <c r="I39" s="21">
        <f t="shared" si="6"/>
        <v>-6</v>
      </c>
      <c r="L39" t="s">
        <v>20</v>
      </c>
      <c r="M39">
        <v>8</v>
      </c>
      <c r="N39">
        <f t="shared" si="7"/>
        <v>1.3945806451612903</v>
      </c>
      <c r="O39">
        <f t="shared" si="8"/>
        <v>1.2617634408602152</v>
      </c>
      <c r="P39" s="21">
        <f t="shared" si="9"/>
        <v>1</v>
      </c>
      <c r="Q39" s="21">
        <f t="shared" si="10"/>
        <v>1</v>
      </c>
      <c r="T39" t="s">
        <v>23</v>
      </c>
      <c r="U39">
        <v>8</v>
      </c>
      <c r="V39">
        <f t="shared" si="11"/>
        <v>8.5806451612903238</v>
      </c>
      <c r="W39">
        <f t="shared" si="12"/>
        <v>7.7634408602150522</v>
      </c>
      <c r="X39" s="21">
        <f t="shared" si="13"/>
        <v>9</v>
      </c>
      <c r="Y39" s="21">
        <f t="shared" si="14"/>
        <v>8</v>
      </c>
    </row>
    <row r="40" spans="4:25">
      <c r="D40" t="s">
        <v>18</v>
      </c>
      <c r="E40">
        <v>9</v>
      </c>
      <c r="F40">
        <f t="shared" si="3"/>
        <v>-7.4197741935483892</v>
      </c>
      <c r="G40">
        <f t="shared" si="4"/>
        <v>-6.713129032258065</v>
      </c>
      <c r="H40" s="21">
        <f t="shared" si="5"/>
        <v>-7</v>
      </c>
      <c r="I40" s="21">
        <f t="shared" si="6"/>
        <v>-7</v>
      </c>
      <c r="L40" t="s">
        <v>20</v>
      </c>
      <c r="M40">
        <v>9</v>
      </c>
      <c r="N40">
        <f t="shared" si="7"/>
        <v>1.5689032258064517</v>
      </c>
      <c r="O40">
        <f t="shared" si="8"/>
        <v>1.419483870967742</v>
      </c>
      <c r="P40" s="21">
        <f t="shared" si="9"/>
        <v>2</v>
      </c>
      <c r="Q40" s="21">
        <f t="shared" si="10"/>
        <v>1</v>
      </c>
      <c r="T40" t="s">
        <v>23</v>
      </c>
      <c r="U40">
        <v>9</v>
      </c>
      <c r="V40">
        <f t="shared" si="11"/>
        <v>9.6532258064516139</v>
      </c>
      <c r="W40">
        <f t="shared" si="12"/>
        <v>8.7338709677419342</v>
      </c>
      <c r="X40" s="21">
        <f t="shared" si="13"/>
        <v>10</v>
      </c>
      <c r="Y40" s="21">
        <f t="shared" si="14"/>
        <v>9</v>
      </c>
    </row>
    <row r="41" spans="4:25">
      <c r="D41" t="s">
        <v>18</v>
      </c>
      <c r="E41">
        <v>10</v>
      </c>
      <c r="F41">
        <f t="shared" si="3"/>
        <v>-8.2441935483870985</v>
      </c>
      <c r="G41">
        <f t="shared" si="4"/>
        <v>-7.4590322580645161</v>
      </c>
      <c r="H41" s="21">
        <f t="shared" si="5"/>
        <v>-8</v>
      </c>
      <c r="I41" s="21">
        <f t="shared" si="6"/>
        <v>-7</v>
      </c>
      <c r="L41" t="s">
        <v>20</v>
      </c>
      <c r="M41">
        <v>10</v>
      </c>
      <c r="N41">
        <f t="shared" si="7"/>
        <v>1.7432258064516128</v>
      </c>
      <c r="O41">
        <f t="shared" si="8"/>
        <v>1.577204301075269</v>
      </c>
      <c r="P41" s="21">
        <f t="shared" si="9"/>
        <v>2</v>
      </c>
      <c r="Q41" s="21">
        <f t="shared" si="10"/>
        <v>2</v>
      </c>
      <c r="T41" t="s">
        <v>23</v>
      </c>
      <c r="U41">
        <v>10</v>
      </c>
      <c r="V41">
        <f t="shared" si="11"/>
        <v>10.725806451612904</v>
      </c>
      <c r="W41">
        <f t="shared" si="12"/>
        <v>9.7043010752688161</v>
      </c>
      <c r="X41" s="21">
        <f t="shared" si="13"/>
        <v>11</v>
      </c>
      <c r="Y41" s="21">
        <f t="shared" si="14"/>
        <v>10</v>
      </c>
    </row>
    <row r="42" spans="4:25">
      <c r="D42" t="s">
        <v>18</v>
      </c>
      <c r="E42">
        <v>11</v>
      </c>
      <c r="F42">
        <f t="shared" si="3"/>
        <v>-9.0686129032258087</v>
      </c>
      <c r="G42">
        <f t="shared" si="4"/>
        <v>-8.2049354838709672</v>
      </c>
      <c r="H42" s="21">
        <f t="shared" si="5"/>
        <v>-9</v>
      </c>
      <c r="I42" s="21">
        <f t="shared" si="6"/>
        <v>-8</v>
      </c>
      <c r="L42" t="s">
        <v>20</v>
      </c>
      <c r="M42">
        <v>11</v>
      </c>
      <c r="N42">
        <f t="shared" si="7"/>
        <v>1.9175483870967742</v>
      </c>
      <c r="O42">
        <f t="shared" si="8"/>
        <v>1.734924731182796</v>
      </c>
      <c r="P42" s="21">
        <f t="shared" si="9"/>
        <v>2</v>
      </c>
      <c r="Q42" s="21">
        <f t="shared" si="10"/>
        <v>2</v>
      </c>
      <c r="T42" t="s">
        <v>23</v>
      </c>
      <c r="U42">
        <v>11</v>
      </c>
      <c r="V42">
        <f t="shared" si="11"/>
        <v>11.798387096774196</v>
      </c>
      <c r="W42">
        <f t="shared" si="12"/>
        <v>10.674731182795696</v>
      </c>
      <c r="X42" s="21">
        <f t="shared" si="13"/>
        <v>12</v>
      </c>
      <c r="Y42" s="21">
        <f t="shared" si="14"/>
        <v>11</v>
      </c>
    </row>
    <row r="43" spans="4:25">
      <c r="D43" t="s">
        <v>18</v>
      </c>
      <c r="E43">
        <v>12</v>
      </c>
      <c r="F43">
        <f t="shared" si="3"/>
        <v>-9.8930322580645189</v>
      </c>
      <c r="G43">
        <f t="shared" si="4"/>
        <v>-8.95083870967742</v>
      </c>
      <c r="H43" s="21">
        <f t="shared" si="5"/>
        <v>-10</v>
      </c>
      <c r="I43" s="21">
        <f t="shared" si="6"/>
        <v>-9</v>
      </c>
      <c r="L43" t="s">
        <v>20</v>
      </c>
      <c r="M43">
        <v>12</v>
      </c>
      <c r="N43">
        <f t="shared" si="7"/>
        <v>2.0918709677419356</v>
      </c>
      <c r="O43">
        <f t="shared" si="8"/>
        <v>1.8926451612903228</v>
      </c>
      <c r="P43" s="21">
        <f t="shared" si="9"/>
        <v>2</v>
      </c>
      <c r="Q43" s="21">
        <f t="shared" si="10"/>
        <v>2</v>
      </c>
      <c r="T43" t="s">
        <v>23</v>
      </c>
      <c r="U43">
        <v>12</v>
      </c>
      <c r="V43">
        <f t="shared" si="11"/>
        <v>12.870967741935486</v>
      </c>
      <c r="W43">
        <f t="shared" si="12"/>
        <v>11.645161290322578</v>
      </c>
      <c r="X43" s="21">
        <f t="shared" si="13"/>
        <v>13</v>
      </c>
      <c r="Y43" s="21">
        <f t="shared" si="14"/>
        <v>12</v>
      </c>
    </row>
    <row r="44" spans="4:25">
      <c r="D44" t="s">
        <v>18</v>
      </c>
      <c r="E44">
        <v>13</v>
      </c>
      <c r="F44">
        <f t="shared" si="3"/>
        <v>-10.717451612903229</v>
      </c>
      <c r="G44">
        <f t="shared" si="4"/>
        <v>-9.6967419354838711</v>
      </c>
      <c r="H44" s="21">
        <f t="shared" si="5"/>
        <v>-11</v>
      </c>
      <c r="I44" s="21">
        <f t="shared" si="6"/>
        <v>-10</v>
      </c>
      <c r="L44" t="s">
        <v>20</v>
      </c>
      <c r="M44">
        <v>13</v>
      </c>
      <c r="N44">
        <f t="shared" si="7"/>
        <v>2.266193548387097</v>
      </c>
      <c r="O44">
        <f t="shared" si="8"/>
        <v>2.0503655913978496</v>
      </c>
      <c r="P44" s="21">
        <f t="shared" si="9"/>
        <v>2</v>
      </c>
      <c r="Q44" s="21">
        <f t="shared" si="10"/>
        <v>2</v>
      </c>
      <c r="T44" t="s">
        <v>23</v>
      </c>
      <c r="U44">
        <v>13</v>
      </c>
      <c r="V44">
        <f t="shared" si="11"/>
        <v>13.943548387096776</v>
      </c>
      <c r="W44">
        <f t="shared" si="12"/>
        <v>12.61559139784946</v>
      </c>
      <c r="X44" s="21">
        <f t="shared" si="13"/>
        <v>14</v>
      </c>
      <c r="Y44" s="21">
        <f t="shared" si="14"/>
        <v>13</v>
      </c>
    </row>
    <row r="45" spans="4:25">
      <c r="D45" t="s">
        <v>18</v>
      </c>
      <c r="E45">
        <v>14</v>
      </c>
      <c r="F45">
        <f t="shared" si="3"/>
        <v>-11.541870967741938</v>
      </c>
      <c r="G45">
        <f t="shared" si="4"/>
        <v>-10.442645161290322</v>
      </c>
      <c r="H45" s="21">
        <f t="shared" si="5"/>
        <v>-12</v>
      </c>
      <c r="I45" s="21">
        <f t="shared" si="6"/>
        <v>-10</v>
      </c>
      <c r="L45" t="s">
        <v>20</v>
      </c>
      <c r="M45">
        <v>14</v>
      </c>
      <c r="N45">
        <f t="shared" si="7"/>
        <v>2.4405161290322579</v>
      </c>
      <c r="O45">
        <f t="shared" si="8"/>
        <v>2.2080860215053768</v>
      </c>
      <c r="P45" s="21">
        <f t="shared" si="9"/>
        <v>2</v>
      </c>
      <c r="Q45" s="21">
        <f t="shared" si="10"/>
        <v>2</v>
      </c>
      <c r="T45" t="s">
        <v>23</v>
      </c>
      <c r="U45">
        <v>14</v>
      </c>
      <c r="V45">
        <f t="shared" si="11"/>
        <v>15.016129032258068</v>
      </c>
      <c r="W45">
        <f t="shared" si="12"/>
        <v>13.58602150537634</v>
      </c>
      <c r="X45" s="21">
        <f t="shared" si="13"/>
        <v>15</v>
      </c>
      <c r="Y45" s="21">
        <f t="shared" si="14"/>
        <v>14</v>
      </c>
    </row>
    <row r="46" spans="4:25">
      <c r="D46" t="s">
        <v>18</v>
      </c>
      <c r="E46">
        <v>15</v>
      </c>
      <c r="F46">
        <f t="shared" si="3"/>
        <v>-12.366290322580648</v>
      </c>
      <c r="G46">
        <f t="shared" si="4"/>
        <v>-11.188548387096775</v>
      </c>
      <c r="H46" s="21">
        <f t="shared" si="5"/>
        <v>-12</v>
      </c>
      <c r="I46" s="21">
        <f t="shared" si="6"/>
        <v>-11</v>
      </c>
      <c r="L46" t="s">
        <v>20</v>
      </c>
      <c r="M46">
        <v>15</v>
      </c>
      <c r="N46">
        <f t="shared" si="7"/>
        <v>2.6148387096774193</v>
      </c>
      <c r="O46">
        <f t="shared" si="8"/>
        <v>2.3658064516129036</v>
      </c>
      <c r="P46" s="21">
        <f t="shared" si="9"/>
        <v>3</v>
      </c>
      <c r="Q46" s="21">
        <f t="shared" si="10"/>
        <v>2</v>
      </c>
      <c r="T46" t="s">
        <v>23</v>
      </c>
      <c r="U46">
        <v>15</v>
      </c>
      <c r="V46">
        <f t="shared" si="11"/>
        <v>16.088709677419356</v>
      </c>
      <c r="W46">
        <f t="shared" si="12"/>
        <v>14.556451612903222</v>
      </c>
      <c r="X46" s="21">
        <f t="shared" si="13"/>
        <v>16</v>
      </c>
      <c r="Y46" s="21">
        <f t="shared" si="14"/>
        <v>15</v>
      </c>
    </row>
    <row r="47" spans="4:25">
      <c r="D47" t="s">
        <v>18</v>
      </c>
      <c r="E47">
        <v>16</v>
      </c>
      <c r="F47">
        <f t="shared" si="3"/>
        <v>-13.190709677419358</v>
      </c>
      <c r="G47">
        <f t="shared" si="4"/>
        <v>-11.934451612903226</v>
      </c>
      <c r="H47" s="21">
        <f t="shared" si="5"/>
        <v>-13</v>
      </c>
      <c r="I47" s="21">
        <f t="shared" si="6"/>
        <v>-12</v>
      </c>
      <c r="L47" t="s">
        <v>20</v>
      </c>
      <c r="M47">
        <v>16</v>
      </c>
      <c r="N47">
        <f t="shared" si="7"/>
        <v>2.7891612903225806</v>
      </c>
      <c r="O47">
        <f t="shared" si="8"/>
        <v>2.5235268817204304</v>
      </c>
      <c r="P47" s="21">
        <f t="shared" si="9"/>
        <v>3</v>
      </c>
      <c r="Q47" s="21">
        <f t="shared" si="10"/>
        <v>3</v>
      </c>
      <c r="T47" t="s">
        <v>23</v>
      </c>
      <c r="U47">
        <v>16</v>
      </c>
      <c r="V47">
        <f t="shared" si="11"/>
        <v>17.161290322580648</v>
      </c>
      <c r="W47">
        <f t="shared" si="12"/>
        <v>15.526881720430104</v>
      </c>
      <c r="X47" s="21">
        <f t="shared" si="13"/>
        <v>17</v>
      </c>
      <c r="Y47" s="21">
        <f t="shared" si="14"/>
        <v>16</v>
      </c>
    </row>
    <row r="48" spans="4:25">
      <c r="D48" t="s">
        <v>18</v>
      </c>
      <c r="E48">
        <v>17</v>
      </c>
      <c r="F48">
        <f t="shared" si="3"/>
        <v>-14.015129032258068</v>
      </c>
      <c r="G48">
        <f t="shared" si="4"/>
        <v>-12.680354838709677</v>
      </c>
      <c r="H48" s="21">
        <f t="shared" si="5"/>
        <v>-14</v>
      </c>
      <c r="I48" s="21">
        <f t="shared" si="6"/>
        <v>-13</v>
      </c>
      <c r="L48" t="s">
        <v>20</v>
      </c>
      <c r="M48">
        <v>17</v>
      </c>
      <c r="N48">
        <f>$H$12*M48</f>
        <v>2.963483870967742</v>
      </c>
      <c r="O48">
        <f t="shared" si="8"/>
        <v>2.6812473118279572</v>
      </c>
      <c r="P48" s="21">
        <f t="shared" si="9"/>
        <v>3</v>
      </c>
      <c r="Q48" s="21">
        <f t="shared" si="10"/>
        <v>3</v>
      </c>
      <c r="T48" t="s">
        <v>23</v>
      </c>
      <c r="U48">
        <v>17</v>
      </c>
      <c r="V48">
        <f t="shared" si="11"/>
        <v>18.233870967741939</v>
      </c>
      <c r="W48">
        <f t="shared" si="12"/>
        <v>16.497311827956985</v>
      </c>
      <c r="X48" s="21">
        <f t="shared" si="13"/>
        <v>18</v>
      </c>
      <c r="Y48" s="21">
        <f t="shared" si="14"/>
        <v>16</v>
      </c>
    </row>
    <row r="49" spans="4:25">
      <c r="D49" t="s">
        <v>18</v>
      </c>
      <c r="E49">
        <v>18</v>
      </c>
      <c r="F49">
        <f t="shared" si="3"/>
        <v>-14.839548387096778</v>
      </c>
      <c r="G49">
        <f t="shared" si="4"/>
        <v>-13.42625806451613</v>
      </c>
      <c r="H49" s="21">
        <f t="shared" si="5"/>
        <v>-15</v>
      </c>
      <c r="I49" s="21">
        <f t="shared" si="6"/>
        <v>-13</v>
      </c>
      <c r="L49" t="s">
        <v>20</v>
      </c>
      <c r="M49">
        <v>18</v>
      </c>
      <c r="N49">
        <f t="shared" si="7"/>
        <v>3.1378064516129034</v>
      </c>
      <c r="O49">
        <f t="shared" si="8"/>
        <v>2.838967741935484</v>
      </c>
      <c r="P49" s="21">
        <f t="shared" si="9"/>
        <v>3</v>
      </c>
      <c r="Q49" s="21">
        <f t="shared" si="10"/>
        <v>3</v>
      </c>
      <c r="T49" t="s">
        <v>23</v>
      </c>
      <c r="U49">
        <v>18</v>
      </c>
      <c r="V49">
        <f t="shared" si="11"/>
        <v>19.306451612903228</v>
      </c>
      <c r="W49">
        <f t="shared" si="12"/>
        <v>17.467741935483868</v>
      </c>
      <c r="X49" s="21">
        <f t="shared" si="13"/>
        <v>19</v>
      </c>
      <c r="Y49" s="21">
        <f t="shared" si="14"/>
        <v>17</v>
      </c>
    </row>
    <row r="50" spans="4:25">
      <c r="D50" t="s">
        <v>18</v>
      </c>
      <c r="E50">
        <v>19</v>
      </c>
      <c r="F50">
        <f t="shared" si="3"/>
        <v>-15.663967741935487</v>
      </c>
      <c r="G50">
        <f t="shared" si="4"/>
        <v>-14.172161290322581</v>
      </c>
      <c r="H50" s="21">
        <f t="shared" si="5"/>
        <v>-16</v>
      </c>
      <c r="I50" s="21">
        <f t="shared" si="6"/>
        <v>-14</v>
      </c>
      <c r="L50" t="s">
        <v>20</v>
      </c>
      <c r="M50">
        <v>19</v>
      </c>
      <c r="N50">
        <f t="shared" si="7"/>
        <v>3.3121290322580643</v>
      </c>
      <c r="O50">
        <f t="shared" si="8"/>
        <v>2.9966881720430112</v>
      </c>
      <c r="P50" s="21">
        <f t="shared" si="9"/>
        <v>3</v>
      </c>
      <c r="Q50" s="21">
        <f t="shared" si="10"/>
        <v>3</v>
      </c>
      <c r="T50" t="s">
        <v>23</v>
      </c>
      <c r="U50">
        <v>19</v>
      </c>
      <c r="V50">
        <f t="shared" si="11"/>
        <v>20.37903225806452</v>
      </c>
      <c r="W50">
        <f t="shared" si="12"/>
        <v>18.438172043010749</v>
      </c>
      <c r="X50" s="21">
        <f t="shared" si="13"/>
        <v>20</v>
      </c>
      <c r="Y50" s="21">
        <f t="shared" si="14"/>
        <v>18</v>
      </c>
    </row>
    <row r="51" spans="4:25">
      <c r="D51" t="s">
        <v>18</v>
      </c>
      <c r="E51">
        <v>20</v>
      </c>
      <c r="F51">
        <f t="shared" si="3"/>
        <v>-16.488387096774197</v>
      </c>
      <c r="G51">
        <f t="shared" si="4"/>
        <v>-14.918064516129032</v>
      </c>
      <c r="H51" s="21">
        <f t="shared" si="5"/>
        <v>-16</v>
      </c>
      <c r="I51" s="21">
        <f t="shared" si="6"/>
        <v>-15</v>
      </c>
      <c r="L51" t="s">
        <v>20</v>
      </c>
      <c r="M51">
        <v>20</v>
      </c>
      <c r="N51">
        <f t="shared" si="7"/>
        <v>3.4864516129032257</v>
      </c>
      <c r="O51">
        <f t="shared" si="8"/>
        <v>3.154408602150538</v>
      </c>
      <c r="P51" s="21">
        <f t="shared" si="9"/>
        <v>3</v>
      </c>
      <c r="Q51" s="21">
        <f t="shared" si="10"/>
        <v>3</v>
      </c>
      <c r="T51" t="s">
        <v>23</v>
      </c>
      <c r="U51">
        <v>20</v>
      </c>
      <c r="V51">
        <f t="shared" si="11"/>
        <v>21.451612903225808</v>
      </c>
      <c r="W51">
        <f t="shared" si="12"/>
        <v>19.408602150537632</v>
      </c>
      <c r="X51" s="21">
        <f t="shared" si="13"/>
        <v>21</v>
      </c>
      <c r="Y51" s="21">
        <f t="shared" si="14"/>
        <v>19</v>
      </c>
    </row>
    <row r="52" spans="4:25">
      <c r="D52" t="s">
        <v>18</v>
      </c>
      <c r="E52">
        <v>21</v>
      </c>
      <c r="F52">
        <f t="shared" si="3"/>
        <v>-17.312806451612907</v>
      </c>
      <c r="G52">
        <f t="shared" si="4"/>
        <v>-15.663967741935485</v>
      </c>
      <c r="H52" s="21">
        <f t="shared" si="5"/>
        <v>-17</v>
      </c>
      <c r="I52" s="21">
        <f t="shared" si="6"/>
        <v>-16</v>
      </c>
      <c r="L52" t="s">
        <v>20</v>
      </c>
      <c r="M52">
        <v>21</v>
      </c>
      <c r="N52">
        <f t="shared" si="7"/>
        <v>3.6607741935483871</v>
      </c>
      <c r="O52">
        <f t="shared" si="8"/>
        <v>3.3121290322580648</v>
      </c>
      <c r="P52" s="21">
        <f t="shared" si="9"/>
        <v>4</v>
      </c>
      <c r="Q52" s="21">
        <f t="shared" si="10"/>
        <v>3</v>
      </c>
      <c r="T52" t="s">
        <v>23</v>
      </c>
      <c r="U52">
        <v>21</v>
      </c>
      <c r="V52">
        <f t="shared" si="11"/>
        <v>22.5241935483871</v>
      </c>
      <c r="W52">
        <f t="shared" si="12"/>
        <v>20.379032258064512</v>
      </c>
      <c r="X52" s="21">
        <f t="shared" si="13"/>
        <v>23</v>
      </c>
      <c r="Y52" s="21">
        <f t="shared" si="14"/>
        <v>20</v>
      </c>
    </row>
    <row r="53" spans="4:25">
      <c r="D53" t="s">
        <v>18</v>
      </c>
      <c r="E53">
        <v>22</v>
      </c>
      <c r="F53">
        <f t="shared" si="3"/>
        <v>-18.137225806451617</v>
      </c>
      <c r="G53">
        <f t="shared" si="4"/>
        <v>-16.409870967741934</v>
      </c>
      <c r="H53" s="21">
        <f t="shared" si="5"/>
        <v>-18</v>
      </c>
      <c r="I53" s="21">
        <f t="shared" si="6"/>
        <v>-16</v>
      </c>
      <c r="L53" t="s">
        <v>20</v>
      </c>
      <c r="M53">
        <v>22</v>
      </c>
      <c r="N53">
        <f t="shared" si="7"/>
        <v>3.8350967741935484</v>
      </c>
      <c r="O53">
        <f t="shared" si="8"/>
        <v>3.469849462365592</v>
      </c>
      <c r="P53" s="21">
        <f t="shared" si="9"/>
        <v>4</v>
      </c>
      <c r="Q53" s="21">
        <f t="shared" si="10"/>
        <v>3</v>
      </c>
      <c r="T53" t="s">
        <v>23</v>
      </c>
      <c r="U53">
        <v>22</v>
      </c>
      <c r="V53">
        <f t="shared" si="11"/>
        <v>23.596774193548391</v>
      </c>
      <c r="W53">
        <f t="shared" si="12"/>
        <v>21.349462365591393</v>
      </c>
      <c r="X53" s="21">
        <f t="shared" si="13"/>
        <v>24</v>
      </c>
      <c r="Y53" s="21">
        <f t="shared" si="14"/>
        <v>21</v>
      </c>
    </row>
    <row r="54" spans="4:25">
      <c r="D54" t="s">
        <v>18</v>
      </c>
      <c r="E54">
        <v>23</v>
      </c>
      <c r="F54">
        <f t="shared" si="3"/>
        <v>-18.961645161290328</v>
      </c>
      <c r="G54">
        <f t="shared" si="4"/>
        <v>-17.155774193548389</v>
      </c>
      <c r="H54" s="21">
        <f t="shared" si="5"/>
        <v>-19</v>
      </c>
      <c r="I54" s="21">
        <f t="shared" si="6"/>
        <v>-17</v>
      </c>
      <c r="L54" t="s">
        <v>20</v>
      </c>
      <c r="M54">
        <v>23</v>
      </c>
      <c r="N54">
        <f t="shared" si="7"/>
        <v>4.0094193548387098</v>
      </c>
      <c r="O54">
        <f t="shared" si="8"/>
        <v>3.6275698924731188</v>
      </c>
      <c r="P54" s="21">
        <f t="shared" si="9"/>
        <v>4</v>
      </c>
      <c r="Q54" s="21">
        <f t="shared" si="10"/>
        <v>4</v>
      </c>
      <c r="T54" t="s">
        <v>23</v>
      </c>
      <c r="U54">
        <v>23</v>
      </c>
      <c r="V54">
        <f t="shared" si="11"/>
        <v>24.66935483870968</v>
      </c>
      <c r="W54">
        <f t="shared" si="12"/>
        <v>22.319892473118276</v>
      </c>
      <c r="X54" s="21">
        <f t="shared" si="13"/>
        <v>25</v>
      </c>
      <c r="Y54" s="21">
        <f t="shared" si="14"/>
        <v>22</v>
      </c>
    </row>
    <row r="55" spans="4:25">
      <c r="D55" t="s">
        <v>18</v>
      </c>
      <c r="E55">
        <v>24</v>
      </c>
      <c r="F55">
        <f t="shared" si="3"/>
        <v>-19.786064516129038</v>
      </c>
      <c r="G55">
        <f t="shared" si="4"/>
        <v>-17.90167741935484</v>
      </c>
      <c r="H55" s="21">
        <f t="shared" si="5"/>
        <v>-20</v>
      </c>
      <c r="I55" s="21">
        <f t="shared" si="6"/>
        <v>-18</v>
      </c>
      <c r="L55" t="s">
        <v>20</v>
      </c>
      <c r="M55">
        <v>24</v>
      </c>
      <c r="N55">
        <f t="shared" si="7"/>
        <v>4.1837419354838712</v>
      </c>
      <c r="O55">
        <f t="shared" si="8"/>
        <v>3.7852903225806456</v>
      </c>
      <c r="P55" s="21">
        <f t="shared" si="9"/>
        <v>4</v>
      </c>
      <c r="Q55" s="21">
        <f t="shared" si="10"/>
        <v>4</v>
      </c>
      <c r="T55" t="s">
        <v>23</v>
      </c>
      <c r="U55">
        <v>24</v>
      </c>
      <c r="V55">
        <f t="shared" si="11"/>
        <v>25.741935483870972</v>
      </c>
      <c r="W55">
        <f t="shared" si="12"/>
        <v>23.290322580645157</v>
      </c>
      <c r="X55" s="21">
        <f t="shared" si="13"/>
        <v>26</v>
      </c>
      <c r="Y55" s="21">
        <f t="shared" si="14"/>
        <v>23</v>
      </c>
    </row>
    <row r="56" spans="4:25">
      <c r="D56" t="s">
        <v>18</v>
      </c>
      <c r="E56">
        <v>25</v>
      </c>
      <c r="F56">
        <f t="shared" si="3"/>
        <v>-20.610483870967748</v>
      </c>
      <c r="G56">
        <f t="shared" si="4"/>
        <v>-18.647580645161291</v>
      </c>
      <c r="H56" s="21">
        <f t="shared" si="5"/>
        <v>-21</v>
      </c>
      <c r="I56" s="21">
        <f t="shared" si="6"/>
        <v>-19</v>
      </c>
      <c r="L56" t="s">
        <v>20</v>
      </c>
      <c r="M56">
        <v>25</v>
      </c>
      <c r="N56">
        <f t="shared" si="7"/>
        <v>4.3580645161290326</v>
      </c>
      <c r="O56">
        <f t="shared" si="8"/>
        <v>3.9430107526881724</v>
      </c>
      <c r="P56" s="21">
        <f t="shared" si="9"/>
        <v>4</v>
      </c>
      <c r="Q56" s="21">
        <f t="shared" si="10"/>
        <v>4</v>
      </c>
      <c r="T56" t="s">
        <v>23</v>
      </c>
      <c r="U56">
        <v>25</v>
      </c>
      <c r="V56">
        <f t="shared" si="11"/>
        <v>26.814516129032263</v>
      </c>
      <c r="W56">
        <f t="shared" si="12"/>
        <v>24.260752688172037</v>
      </c>
      <c r="X56" s="21">
        <f t="shared" si="13"/>
        <v>27</v>
      </c>
      <c r="Y56" s="21">
        <f t="shared" si="14"/>
        <v>24</v>
      </c>
    </row>
    <row r="57" spans="4:25">
      <c r="D57" t="s">
        <v>18</v>
      </c>
      <c r="E57">
        <v>26</v>
      </c>
      <c r="F57">
        <f t="shared" si="3"/>
        <v>-21.434903225806458</v>
      </c>
      <c r="G57">
        <f t="shared" si="4"/>
        <v>-19.393483870967742</v>
      </c>
      <c r="H57" s="21">
        <f t="shared" si="5"/>
        <v>-21</v>
      </c>
      <c r="I57" s="21">
        <f t="shared" si="6"/>
        <v>-19</v>
      </c>
      <c r="L57" t="s">
        <v>20</v>
      </c>
      <c r="M57">
        <v>26</v>
      </c>
      <c r="N57">
        <f t="shared" si="7"/>
        <v>4.5323870967741939</v>
      </c>
      <c r="O57">
        <f t="shared" si="8"/>
        <v>4.1007311827956991</v>
      </c>
      <c r="P57" s="21">
        <f t="shared" si="9"/>
        <v>5</v>
      </c>
      <c r="Q57" s="21">
        <f t="shared" si="10"/>
        <v>4</v>
      </c>
      <c r="T57" t="s">
        <v>23</v>
      </c>
      <c r="U57">
        <v>26</v>
      </c>
      <c r="V57">
        <f t="shared" si="11"/>
        <v>27.887096774193552</v>
      </c>
      <c r="W57">
        <f t="shared" si="12"/>
        <v>25.231182795698921</v>
      </c>
      <c r="X57" s="21">
        <f t="shared" si="13"/>
        <v>28</v>
      </c>
      <c r="Y57" s="21">
        <f t="shared" si="14"/>
        <v>25</v>
      </c>
    </row>
    <row r="58" spans="4:25">
      <c r="D58" t="s">
        <v>18</v>
      </c>
      <c r="E58">
        <v>27</v>
      </c>
      <c r="F58">
        <f t="shared" si="3"/>
        <v>-22.259322580645165</v>
      </c>
      <c r="G58">
        <f t="shared" si="4"/>
        <v>-20.139387096774193</v>
      </c>
      <c r="H58" s="21">
        <f t="shared" si="5"/>
        <v>-22</v>
      </c>
      <c r="I58" s="21">
        <f t="shared" si="6"/>
        <v>-20</v>
      </c>
      <c r="L58" t="s">
        <v>20</v>
      </c>
      <c r="M58">
        <v>27</v>
      </c>
      <c r="N58">
        <f t="shared" si="7"/>
        <v>4.7067096774193544</v>
      </c>
      <c r="O58">
        <f t="shared" si="8"/>
        <v>4.2584516129032259</v>
      </c>
      <c r="P58" s="21">
        <f t="shared" si="9"/>
        <v>5</v>
      </c>
      <c r="Q58" s="21">
        <f t="shared" si="10"/>
        <v>4</v>
      </c>
      <c r="T58" t="s">
        <v>23</v>
      </c>
      <c r="U58">
        <v>27</v>
      </c>
      <c r="V58">
        <f t="shared" si="11"/>
        <v>28.959677419354843</v>
      </c>
      <c r="W58">
        <f t="shared" si="12"/>
        <v>26.201612903225801</v>
      </c>
      <c r="X58" s="21">
        <f t="shared" si="13"/>
        <v>29</v>
      </c>
      <c r="Y58" s="21">
        <f t="shared" si="14"/>
        <v>26</v>
      </c>
    </row>
    <row r="59" spans="4:25">
      <c r="D59" t="s">
        <v>18</v>
      </c>
      <c r="E59">
        <v>28</v>
      </c>
      <c r="F59">
        <f t="shared" si="3"/>
        <v>-23.083741935483875</v>
      </c>
      <c r="G59">
        <f t="shared" si="4"/>
        <v>-20.885290322580644</v>
      </c>
      <c r="H59" s="21">
        <f t="shared" si="5"/>
        <v>-23</v>
      </c>
      <c r="I59" s="21">
        <f t="shared" si="6"/>
        <v>-21</v>
      </c>
      <c r="L59" t="s">
        <v>20</v>
      </c>
      <c r="M59">
        <v>28</v>
      </c>
      <c r="N59">
        <f t="shared" si="7"/>
        <v>4.8810322580645158</v>
      </c>
      <c r="O59">
        <f t="shared" si="8"/>
        <v>4.4161720430107536</v>
      </c>
      <c r="P59" s="21">
        <f t="shared" si="9"/>
        <v>5</v>
      </c>
      <c r="Q59" s="21">
        <f t="shared" si="10"/>
        <v>4</v>
      </c>
      <c r="T59" t="s">
        <v>23</v>
      </c>
      <c r="U59">
        <v>28</v>
      </c>
      <c r="V59">
        <f t="shared" si="11"/>
        <v>30.032258064516135</v>
      </c>
      <c r="W59">
        <f t="shared" si="12"/>
        <v>27.172043010752681</v>
      </c>
      <c r="X59" s="21">
        <f t="shared" si="13"/>
        <v>30</v>
      </c>
      <c r="Y59" s="21">
        <f t="shared" si="14"/>
        <v>27</v>
      </c>
    </row>
    <row r="60" spans="4:25">
      <c r="D60" t="s">
        <v>18</v>
      </c>
      <c r="E60">
        <v>29</v>
      </c>
      <c r="F60">
        <f t="shared" si="3"/>
        <v>-23.908161290322585</v>
      </c>
      <c r="G60">
        <f t="shared" si="4"/>
        <v>-21.631193548387099</v>
      </c>
      <c r="H60" s="21">
        <f t="shared" si="5"/>
        <v>-24</v>
      </c>
      <c r="I60" s="21">
        <f t="shared" si="6"/>
        <v>-22</v>
      </c>
      <c r="L60" t="s">
        <v>20</v>
      </c>
      <c r="M60">
        <v>29</v>
      </c>
      <c r="N60">
        <f t="shared" si="7"/>
        <v>5.0553548387096772</v>
      </c>
      <c r="O60">
        <f t="shared" si="8"/>
        <v>4.5738924731182804</v>
      </c>
      <c r="P60" s="21">
        <f t="shared" si="9"/>
        <v>5</v>
      </c>
      <c r="Q60" s="21">
        <f t="shared" si="10"/>
        <v>5</v>
      </c>
      <c r="T60" t="s">
        <v>23</v>
      </c>
      <c r="U60">
        <v>29</v>
      </c>
      <c r="V60">
        <f t="shared" si="11"/>
        <v>31.104838709677423</v>
      </c>
      <c r="W60">
        <f t="shared" si="12"/>
        <v>28.142473118279565</v>
      </c>
      <c r="X60" s="21">
        <f t="shared" si="13"/>
        <v>31</v>
      </c>
      <c r="Y60" s="21">
        <f t="shared" si="14"/>
        <v>28</v>
      </c>
    </row>
    <row r="61" spans="4:25">
      <c r="D61" t="s">
        <v>18</v>
      </c>
      <c r="E61">
        <v>30</v>
      </c>
      <c r="F61">
        <f t="shared" si="3"/>
        <v>-24.732580645161296</v>
      </c>
      <c r="G61">
        <f t="shared" si="4"/>
        <v>-22.37709677419355</v>
      </c>
      <c r="H61" s="21">
        <f t="shared" si="5"/>
        <v>-25</v>
      </c>
      <c r="I61" s="21">
        <f t="shared" si="6"/>
        <v>-22</v>
      </c>
      <c r="L61" t="s">
        <v>20</v>
      </c>
      <c r="M61">
        <v>30</v>
      </c>
      <c r="N61">
        <f t="shared" si="7"/>
        <v>5.2296774193548385</v>
      </c>
      <c r="O61">
        <f t="shared" si="8"/>
        <v>4.7316129032258072</v>
      </c>
      <c r="P61" s="21">
        <f t="shared" si="9"/>
        <v>5</v>
      </c>
      <c r="Q61" s="21">
        <f t="shared" si="10"/>
        <v>5</v>
      </c>
      <c r="T61" t="s">
        <v>23</v>
      </c>
      <c r="U61">
        <v>30</v>
      </c>
      <c r="V61">
        <f t="shared" si="11"/>
        <v>32.177419354838712</v>
      </c>
      <c r="W61">
        <f t="shared" si="12"/>
        <v>29.112903225806445</v>
      </c>
      <c r="X61" s="21">
        <f t="shared" si="13"/>
        <v>32</v>
      </c>
      <c r="Y61" s="21">
        <f t="shared" si="14"/>
        <v>29</v>
      </c>
    </row>
    <row r="62" spans="4:25">
      <c r="D62" t="s">
        <v>18</v>
      </c>
      <c r="E62">
        <v>31</v>
      </c>
      <c r="F62">
        <f t="shared" si="3"/>
        <v>-25.557000000000006</v>
      </c>
      <c r="G62">
        <f t="shared" si="4"/>
        <v>-23.123000000000001</v>
      </c>
      <c r="H62" s="21">
        <f t="shared" si="5"/>
        <v>-26</v>
      </c>
      <c r="I62" s="21">
        <f t="shared" si="6"/>
        <v>-23</v>
      </c>
      <c r="L62" t="s">
        <v>20</v>
      </c>
      <c r="M62">
        <v>31</v>
      </c>
      <c r="N62">
        <f t="shared" si="7"/>
        <v>5.4039999999999999</v>
      </c>
      <c r="O62">
        <f t="shared" si="8"/>
        <v>4.889333333333334</v>
      </c>
      <c r="P62" s="21">
        <f t="shared" si="9"/>
        <v>5</v>
      </c>
      <c r="Q62" s="21">
        <f t="shared" si="10"/>
        <v>5</v>
      </c>
      <c r="T62" t="s">
        <v>23</v>
      </c>
      <c r="U62">
        <v>31</v>
      </c>
      <c r="V62">
        <f t="shared" si="11"/>
        <v>33.250000000000007</v>
      </c>
      <c r="W62">
        <f t="shared" si="12"/>
        <v>30.083333333333329</v>
      </c>
      <c r="X62" s="21">
        <f t="shared" si="13"/>
        <v>33</v>
      </c>
      <c r="Y62" s="21">
        <f t="shared" si="14"/>
        <v>30</v>
      </c>
    </row>
    <row r="63" spans="4:25">
      <c r="D63" t="s">
        <v>18</v>
      </c>
      <c r="E63">
        <v>32</v>
      </c>
      <c r="F63">
        <f t="shared" si="3"/>
        <v>-26.381419354838716</v>
      </c>
      <c r="G63">
        <f t="shared" si="4"/>
        <v>-23.868903225806452</v>
      </c>
      <c r="H63" s="21">
        <f t="shared" si="5"/>
        <v>-26</v>
      </c>
      <c r="I63" s="21">
        <f t="shared" si="6"/>
        <v>-24</v>
      </c>
      <c r="L63" t="s">
        <v>20</v>
      </c>
      <c r="M63">
        <v>32</v>
      </c>
      <c r="N63">
        <f t="shared" si="7"/>
        <v>5.5783225806451613</v>
      </c>
      <c r="O63">
        <f t="shared" si="8"/>
        <v>5.0470537634408608</v>
      </c>
      <c r="P63" s="21">
        <f t="shared" si="9"/>
        <v>6</v>
      </c>
      <c r="Q63" s="21">
        <f t="shared" si="10"/>
        <v>5</v>
      </c>
      <c r="T63" t="s">
        <v>23</v>
      </c>
      <c r="U63">
        <v>32</v>
      </c>
      <c r="V63">
        <f t="shared" si="11"/>
        <v>34.322580645161295</v>
      </c>
      <c r="W63">
        <f t="shared" si="12"/>
        <v>31.053763440860209</v>
      </c>
      <c r="X63" s="21">
        <f t="shared" si="13"/>
        <v>34</v>
      </c>
      <c r="Y63" s="21">
        <f t="shared" si="14"/>
        <v>31</v>
      </c>
    </row>
    <row r="64" spans="4:25">
      <c r="L64" t="s">
        <v>20</v>
      </c>
      <c r="M64">
        <v>33</v>
      </c>
      <c r="N64">
        <f t="shared" si="7"/>
        <v>5.7526451612903227</v>
      </c>
      <c r="O64">
        <f t="shared" si="8"/>
        <v>5.2047741935483876</v>
      </c>
      <c r="P64" s="21">
        <f t="shared" si="9"/>
        <v>6</v>
      </c>
      <c r="Q64" s="21">
        <f t="shared" si="10"/>
        <v>5</v>
      </c>
      <c r="T64" t="s">
        <v>23</v>
      </c>
      <c r="U64">
        <v>33</v>
      </c>
      <c r="V64">
        <f t="shared" si="11"/>
        <v>35.395161290322584</v>
      </c>
      <c r="W64">
        <f t="shared" si="12"/>
        <v>32.024193548387089</v>
      </c>
      <c r="X64" s="21">
        <f t="shared" si="13"/>
        <v>35</v>
      </c>
      <c r="Y64" s="21">
        <f t="shared" si="14"/>
        <v>32</v>
      </c>
    </row>
    <row r="65" spans="12:25">
      <c r="L65" t="s">
        <v>20</v>
      </c>
      <c r="M65">
        <v>34</v>
      </c>
      <c r="N65">
        <f t="shared" si="7"/>
        <v>5.926967741935484</v>
      </c>
      <c r="O65">
        <f t="shared" si="8"/>
        <v>5.3624946236559143</v>
      </c>
      <c r="P65" s="21">
        <f t="shared" si="9"/>
        <v>6</v>
      </c>
      <c r="Q65" s="21">
        <f t="shared" si="10"/>
        <v>5</v>
      </c>
      <c r="T65" t="s">
        <v>23</v>
      </c>
      <c r="U65">
        <v>34</v>
      </c>
      <c r="V65">
        <f t="shared" si="11"/>
        <v>36.467741935483879</v>
      </c>
      <c r="W65">
        <f t="shared" si="12"/>
        <v>32.994623655913969</v>
      </c>
      <c r="X65" s="21">
        <f t="shared" si="13"/>
        <v>36</v>
      </c>
      <c r="Y65" s="21">
        <f t="shared" si="14"/>
        <v>33</v>
      </c>
    </row>
    <row r="66" spans="12:25">
      <c r="L66" t="s">
        <v>20</v>
      </c>
      <c r="M66">
        <v>35</v>
      </c>
      <c r="N66">
        <f t="shared" si="7"/>
        <v>6.1012903225806454</v>
      </c>
      <c r="O66">
        <f t="shared" si="8"/>
        <v>5.5202150537634411</v>
      </c>
      <c r="P66" s="21">
        <f t="shared" si="9"/>
        <v>6</v>
      </c>
      <c r="Q66" s="21">
        <f t="shared" si="10"/>
        <v>6</v>
      </c>
      <c r="T66" t="s">
        <v>23</v>
      </c>
      <c r="U66">
        <v>35</v>
      </c>
      <c r="V66">
        <f t="shared" si="11"/>
        <v>37.540322580645167</v>
      </c>
      <c r="W66">
        <f t="shared" si="12"/>
        <v>33.965053763440856</v>
      </c>
      <c r="X66" s="21">
        <f t="shared" si="13"/>
        <v>38</v>
      </c>
      <c r="Y66" s="21">
        <f t="shared" si="14"/>
        <v>34</v>
      </c>
    </row>
    <row r="67" spans="12:25">
      <c r="L67" t="s">
        <v>20</v>
      </c>
      <c r="M67">
        <v>36</v>
      </c>
      <c r="N67">
        <f t="shared" si="7"/>
        <v>6.2756129032258068</v>
      </c>
      <c r="O67">
        <f t="shared" si="8"/>
        <v>5.6779354838709679</v>
      </c>
      <c r="P67" s="21">
        <f t="shared" si="9"/>
        <v>6</v>
      </c>
      <c r="Q67" s="21">
        <f t="shared" si="10"/>
        <v>6</v>
      </c>
      <c r="T67" t="s">
        <v>23</v>
      </c>
      <c r="U67">
        <v>36</v>
      </c>
      <c r="V67">
        <f t="shared" si="11"/>
        <v>38.612903225806456</v>
      </c>
      <c r="W67">
        <f t="shared" si="12"/>
        <v>34.935483870967737</v>
      </c>
      <c r="X67" s="21">
        <f t="shared" si="13"/>
        <v>39</v>
      </c>
      <c r="Y67" s="21">
        <f t="shared" si="14"/>
        <v>35</v>
      </c>
    </row>
    <row r="68" spans="12:25">
      <c r="L68" t="s">
        <v>20</v>
      </c>
      <c r="M68">
        <v>37</v>
      </c>
      <c r="N68">
        <f t="shared" si="7"/>
        <v>6.4499354838709682</v>
      </c>
      <c r="O68">
        <f t="shared" si="8"/>
        <v>5.8356559139784956</v>
      </c>
      <c r="P68" s="21">
        <f t="shared" si="9"/>
        <v>6</v>
      </c>
      <c r="Q68" s="21">
        <f t="shared" si="10"/>
        <v>6</v>
      </c>
      <c r="T68" t="s">
        <v>23</v>
      </c>
      <c r="U68">
        <v>37</v>
      </c>
      <c r="V68">
        <f t="shared" si="11"/>
        <v>39.685483870967751</v>
      </c>
      <c r="W68">
        <f t="shared" si="12"/>
        <v>35.905913978494617</v>
      </c>
      <c r="X68" s="21">
        <f t="shared" si="13"/>
        <v>40</v>
      </c>
      <c r="Y68" s="21">
        <f t="shared" si="14"/>
        <v>36</v>
      </c>
    </row>
    <row r="69" spans="12:25">
      <c r="L69" t="s">
        <v>20</v>
      </c>
      <c r="M69">
        <v>38</v>
      </c>
      <c r="N69">
        <f t="shared" si="7"/>
        <v>6.6242580645161286</v>
      </c>
      <c r="O69">
        <f t="shared" si="8"/>
        <v>5.9933763440860224</v>
      </c>
      <c r="P69" s="21">
        <f t="shared" si="9"/>
        <v>7</v>
      </c>
      <c r="Q69" s="21">
        <f t="shared" si="10"/>
        <v>6</v>
      </c>
      <c r="T69" t="s">
        <v>23</v>
      </c>
      <c r="U69">
        <v>38</v>
      </c>
      <c r="V69">
        <f t="shared" si="11"/>
        <v>40.758064516129039</v>
      </c>
      <c r="W69">
        <f t="shared" si="12"/>
        <v>36.876344086021497</v>
      </c>
      <c r="X69" s="21">
        <f t="shared" si="13"/>
        <v>41</v>
      </c>
      <c r="Y69" s="21">
        <f t="shared" si="14"/>
        <v>37</v>
      </c>
    </row>
    <row r="70" spans="12:25">
      <c r="L70" t="s">
        <v>20</v>
      </c>
      <c r="M70">
        <v>39</v>
      </c>
      <c r="N70">
        <f t="shared" si="7"/>
        <v>6.79858064516129</v>
      </c>
      <c r="O70">
        <f t="shared" si="8"/>
        <v>6.1510967741935492</v>
      </c>
      <c r="P70" s="21">
        <f t="shared" si="9"/>
        <v>7</v>
      </c>
      <c r="Q70" s="21">
        <f t="shared" si="10"/>
        <v>6</v>
      </c>
      <c r="T70" t="s">
        <v>23</v>
      </c>
      <c r="U70">
        <v>39</v>
      </c>
      <c r="V70">
        <f t="shared" si="11"/>
        <v>41.830645161290327</v>
      </c>
      <c r="W70">
        <f t="shared" si="12"/>
        <v>37.846774193548377</v>
      </c>
      <c r="X70" s="21">
        <f t="shared" si="13"/>
        <v>42</v>
      </c>
      <c r="Y70" s="21">
        <f t="shared" si="14"/>
        <v>38</v>
      </c>
    </row>
    <row r="71" spans="12:25">
      <c r="L71" t="s">
        <v>20</v>
      </c>
      <c r="M71">
        <v>40</v>
      </c>
      <c r="N71">
        <f t="shared" si="7"/>
        <v>6.9729032258064514</v>
      </c>
      <c r="O71">
        <f t="shared" si="8"/>
        <v>6.308817204301076</v>
      </c>
      <c r="P71" s="21">
        <f t="shared" si="9"/>
        <v>7</v>
      </c>
      <c r="Q71" s="21">
        <f t="shared" si="10"/>
        <v>6</v>
      </c>
      <c r="T71" t="s">
        <v>23</v>
      </c>
      <c r="U71">
        <v>40</v>
      </c>
      <c r="V71">
        <f t="shared" si="11"/>
        <v>42.903225806451616</v>
      </c>
      <c r="W71">
        <f t="shared" si="12"/>
        <v>38.817204301075265</v>
      </c>
      <c r="X71" s="21">
        <f t="shared" si="13"/>
        <v>43</v>
      </c>
      <c r="Y71" s="21">
        <f t="shared" si="14"/>
        <v>39</v>
      </c>
    </row>
  </sheetData>
  <mergeCells count="13">
    <mergeCell ref="A12:A20"/>
    <mergeCell ref="A21:A29"/>
    <mergeCell ref="H12:H20"/>
    <mergeCell ref="H21:H29"/>
    <mergeCell ref="A2:A11"/>
    <mergeCell ref="H2:H11"/>
    <mergeCell ref="P6:S10"/>
    <mergeCell ref="I12:I20"/>
    <mergeCell ref="J12:J20"/>
    <mergeCell ref="I21:I29"/>
    <mergeCell ref="J21:J29"/>
    <mergeCell ref="I2:I11"/>
    <mergeCell ref="J2:J11"/>
  </mergeCells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1"/>
  <dimension ref="A1:N38"/>
  <sheetViews>
    <sheetView workbookViewId="0">
      <selection activeCell="R20" sqref="R20"/>
    </sheetView>
  </sheetViews>
  <sheetFormatPr baseColWidth="10" defaultColWidth="11.42578125" defaultRowHeight="15"/>
  <cols>
    <col min="1" max="1" width="15.28515625" customWidth="1"/>
    <col min="4" max="4" width="25.42578125" customWidth="1"/>
    <col min="7" max="7" width="11.42578125" style="6"/>
  </cols>
  <sheetData>
    <row r="1" spans="1:13">
      <c r="A1" s="113" t="s">
        <v>69</v>
      </c>
      <c r="B1" s="113">
        <v>-1.6549999999999999E-2</v>
      </c>
      <c r="E1" s="23" t="s">
        <v>81</v>
      </c>
      <c r="F1" s="23" t="s">
        <v>77</v>
      </c>
      <c r="G1" s="24" t="s">
        <v>78</v>
      </c>
      <c r="H1" s="23"/>
      <c r="I1" s="23"/>
      <c r="J1" s="23"/>
      <c r="K1" s="23" t="s">
        <v>79</v>
      </c>
      <c r="L1" s="23"/>
      <c r="M1" s="23" t="s">
        <v>80</v>
      </c>
    </row>
    <row r="2" spans="1:13">
      <c r="A2" s="113" t="s">
        <v>70</v>
      </c>
      <c r="B2" s="113">
        <v>7.8799999999999999E-3</v>
      </c>
      <c r="E2">
        <v>50</v>
      </c>
      <c r="F2">
        <f>ROUND($B$6*E2,1)</f>
        <v>-0.6</v>
      </c>
      <c r="G2" s="6">
        <f>ROUND($C$6*E2,1)</f>
        <v>0.6</v>
      </c>
      <c r="J2">
        <v>-1</v>
      </c>
      <c r="K2" s="22">
        <f>J2/$B$6</f>
        <v>79.855744461617732</v>
      </c>
      <c r="L2">
        <v>1</v>
      </c>
      <c r="M2" s="22">
        <f>L2/$C$6</f>
        <v>86.652690426275328</v>
      </c>
    </row>
    <row r="3" spans="1:13">
      <c r="E3">
        <v>100</v>
      </c>
      <c r="F3">
        <f t="shared" ref="F3:F38" si="0">ROUND($B$6*E3,1)</f>
        <v>-1.3</v>
      </c>
      <c r="G3" s="6">
        <f t="shared" ref="G3:G34" si="1">ROUND($C$6*E3,1)</f>
        <v>1.2</v>
      </c>
      <c r="J3">
        <v>-2</v>
      </c>
      <c r="K3" s="22">
        <f t="shared" ref="K3:K30" si="2">J3/$B$6</f>
        <v>159.71148892323546</v>
      </c>
      <c r="L3">
        <v>2</v>
      </c>
      <c r="M3" s="22">
        <f t="shared" ref="M3:M25" si="3">L3/$C$6</f>
        <v>173.30538085255066</v>
      </c>
    </row>
    <row r="4" spans="1:13">
      <c r="A4" s="113"/>
      <c r="B4" s="113" t="s">
        <v>77</v>
      </c>
      <c r="C4" s="113" t="s">
        <v>78</v>
      </c>
      <c r="D4" s="113"/>
      <c r="E4">
        <v>150</v>
      </c>
      <c r="F4">
        <f t="shared" si="0"/>
        <v>-1.9</v>
      </c>
      <c r="G4" s="6">
        <f t="shared" si="1"/>
        <v>1.7</v>
      </c>
      <c r="J4">
        <v>-3</v>
      </c>
      <c r="K4" s="22">
        <f t="shared" si="2"/>
        <v>239.56723338485318</v>
      </c>
      <c r="L4">
        <v>3</v>
      </c>
      <c r="M4" s="22">
        <f t="shared" si="3"/>
        <v>259.95807127882597</v>
      </c>
    </row>
    <row r="5" spans="1:13">
      <c r="A5" s="113" t="s">
        <v>61</v>
      </c>
      <c r="B5" s="113">
        <v>8.2360000000000007</v>
      </c>
      <c r="C5" s="113">
        <v>23.155000000000001</v>
      </c>
      <c r="D5" s="113"/>
      <c r="E5">
        <v>200</v>
      </c>
      <c r="F5">
        <f t="shared" si="0"/>
        <v>-2.5</v>
      </c>
      <c r="G5" s="6">
        <f t="shared" si="1"/>
        <v>2.2999999999999998</v>
      </c>
      <c r="J5">
        <v>-4</v>
      </c>
      <c r="K5" s="22">
        <f t="shared" si="2"/>
        <v>319.42297784647093</v>
      </c>
      <c r="L5">
        <v>4</v>
      </c>
      <c r="M5" s="22">
        <f t="shared" si="3"/>
        <v>346.61076170510131</v>
      </c>
    </row>
    <row r="6" spans="1:13">
      <c r="A6" s="113" t="s">
        <v>104</v>
      </c>
      <c r="B6" s="114">
        <f>(1*(B5-16))/620</f>
        <v>-1.2522580645161289E-2</v>
      </c>
      <c r="C6" s="114">
        <f>(1*(C5-16))/620</f>
        <v>1.1540322580645163E-2</v>
      </c>
      <c r="D6" s="113"/>
      <c r="E6">
        <v>250</v>
      </c>
      <c r="F6">
        <f t="shared" si="0"/>
        <v>-3.1</v>
      </c>
      <c r="G6" s="6">
        <f t="shared" si="1"/>
        <v>2.9</v>
      </c>
      <c r="J6">
        <v>-5</v>
      </c>
      <c r="K6" s="22">
        <f t="shared" si="2"/>
        <v>399.27872230808867</v>
      </c>
      <c r="L6">
        <v>5</v>
      </c>
      <c r="M6" s="22">
        <f t="shared" si="3"/>
        <v>433.2634521313766</v>
      </c>
    </row>
    <row r="7" spans="1:13">
      <c r="E7">
        <v>300</v>
      </c>
      <c r="F7">
        <f t="shared" si="0"/>
        <v>-3.8</v>
      </c>
      <c r="G7" s="6">
        <f t="shared" si="1"/>
        <v>3.5</v>
      </c>
      <c r="J7">
        <v>-6</v>
      </c>
      <c r="K7" s="22">
        <f t="shared" si="2"/>
        <v>479.13446676970636</v>
      </c>
      <c r="L7">
        <v>6</v>
      </c>
      <c r="M7" s="22">
        <f t="shared" si="3"/>
        <v>519.91614255765194</v>
      </c>
    </row>
    <row r="8" spans="1:13">
      <c r="E8">
        <v>350</v>
      </c>
      <c r="F8">
        <f t="shared" si="0"/>
        <v>-4.4000000000000004</v>
      </c>
      <c r="G8" s="6">
        <f t="shared" si="1"/>
        <v>4</v>
      </c>
      <c r="J8">
        <v>-7</v>
      </c>
      <c r="K8" s="22">
        <f t="shared" si="2"/>
        <v>558.99021123132411</v>
      </c>
      <c r="L8">
        <v>7</v>
      </c>
      <c r="M8" s="22">
        <f t="shared" si="3"/>
        <v>606.56883298392722</v>
      </c>
    </row>
    <row r="9" spans="1:13">
      <c r="E9">
        <v>400</v>
      </c>
      <c r="F9">
        <f t="shared" si="0"/>
        <v>-5</v>
      </c>
      <c r="G9" s="6">
        <f t="shared" si="1"/>
        <v>4.5999999999999996</v>
      </c>
      <c r="J9">
        <v>-8</v>
      </c>
      <c r="K9" s="22">
        <f t="shared" si="2"/>
        <v>638.84595569294186</v>
      </c>
      <c r="L9">
        <v>8</v>
      </c>
      <c r="M9" s="22">
        <f t="shared" si="3"/>
        <v>693.22152341020262</v>
      </c>
    </row>
    <row r="10" spans="1:13">
      <c r="E10">
        <v>450</v>
      </c>
      <c r="F10">
        <f t="shared" si="0"/>
        <v>-5.6</v>
      </c>
      <c r="G10" s="6">
        <f t="shared" si="1"/>
        <v>5.2</v>
      </c>
      <c r="J10">
        <v>-9</v>
      </c>
      <c r="K10" s="22">
        <f t="shared" si="2"/>
        <v>718.7017001545596</v>
      </c>
      <c r="L10">
        <v>9</v>
      </c>
      <c r="M10" s="22">
        <f t="shared" si="3"/>
        <v>779.87421383647791</v>
      </c>
    </row>
    <row r="11" spans="1:13">
      <c r="E11">
        <v>500</v>
      </c>
      <c r="F11">
        <f t="shared" si="0"/>
        <v>-6.3</v>
      </c>
      <c r="G11" s="6">
        <f t="shared" si="1"/>
        <v>5.8</v>
      </c>
      <c r="J11">
        <v>-10</v>
      </c>
      <c r="K11" s="22">
        <f t="shared" si="2"/>
        <v>798.55744461617735</v>
      </c>
      <c r="L11">
        <v>10</v>
      </c>
      <c r="M11" s="22">
        <f t="shared" si="3"/>
        <v>866.52690426275319</v>
      </c>
    </row>
    <row r="12" spans="1:13">
      <c r="E12">
        <v>550</v>
      </c>
      <c r="F12">
        <f t="shared" si="0"/>
        <v>-6.9</v>
      </c>
      <c r="G12" s="6">
        <f t="shared" si="1"/>
        <v>6.3</v>
      </c>
      <c r="J12">
        <v>-11</v>
      </c>
      <c r="K12" s="22">
        <f t="shared" si="2"/>
        <v>878.41318907779498</v>
      </c>
      <c r="L12">
        <v>11</v>
      </c>
      <c r="M12" s="22">
        <f t="shared" si="3"/>
        <v>953.17959468902859</v>
      </c>
    </row>
    <row r="13" spans="1:13">
      <c r="E13">
        <v>600</v>
      </c>
      <c r="F13">
        <f t="shared" si="0"/>
        <v>-7.5</v>
      </c>
      <c r="G13" s="6">
        <f t="shared" si="1"/>
        <v>6.9</v>
      </c>
      <c r="J13">
        <v>-12</v>
      </c>
      <c r="K13" s="22">
        <f t="shared" si="2"/>
        <v>958.26893353941273</v>
      </c>
      <c r="L13">
        <v>12</v>
      </c>
      <c r="M13" s="22">
        <f t="shared" si="3"/>
        <v>1039.8322851153039</v>
      </c>
    </row>
    <row r="14" spans="1:13">
      <c r="E14">
        <v>650</v>
      </c>
      <c r="F14">
        <f t="shared" si="0"/>
        <v>-8.1</v>
      </c>
      <c r="G14" s="6">
        <f t="shared" si="1"/>
        <v>7.5</v>
      </c>
      <c r="J14">
        <v>-13</v>
      </c>
      <c r="K14" s="22">
        <f t="shared" si="2"/>
        <v>1038.1246780010306</v>
      </c>
      <c r="L14">
        <v>13</v>
      </c>
      <c r="M14" s="22">
        <f t="shared" si="3"/>
        <v>1126.4849755415792</v>
      </c>
    </row>
    <row r="15" spans="1:13">
      <c r="E15">
        <v>700</v>
      </c>
      <c r="F15">
        <f t="shared" si="0"/>
        <v>-8.8000000000000007</v>
      </c>
      <c r="G15" s="6">
        <f t="shared" si="1"/>
        <v>8.1</v>
      </c>
      <c r="J15">
        <v>-14</v>
      </c>
      <c r="K15" s="22">
        <f t="shared" si="2"/>
        <v>1117.9804224626482</v>
      </c>
      <c r="L15">
        <v>14</v>
      </c>
      <c r="M15" s="22">
        <f t="shared" si="3"/>
        <v>1213.1376659678544</v>
      </c>
    </row>
    <row r="16" spans="1:13">
      <c r="E16">
        <v>750</v>
      </c>
      <c r="F16">
        <f t="shared" si="0"/>
        <v>-9.4</v>
      </c>
      <c r="G16" s="6">
        <f t="shared" si="1"/>
        <v>8.6999999999999993</v>
      </c>
      <c r="J16">
        <v>-15</v>
      </c>
      <c r="K16" s="22">
        <f t="shared" si="2"/>
        <v>1197.8361669242659</v>
      </c>
      <c r="L16">
        <v>15</v>
      </c>
      <c r="M16" s="22">
        <f t="shared" si="3"/>
        <v>1299.7903563941297</v>
      </c>
    </row>
    <row r="17" spans="1:13" ht="15" customHeight="1">
      <c r="A17" s="283" t="s">
        <v>240</v>
      </c>
      <c r="B17" s="283"/>
      <c r="C17" s="283"/>
      <c r="D17" s="283"/>
      <c r="E17">
        <v>800</v>
      </c>
      <c r="F17">
        <f t="shared" si="0"/>
        <v>-10</v>
      </c>
      <c r="G17" s="6">
        <f t="shared" si="1"/>
        <v>9.1999999999999993</v>
      </c>
      <c r="J17">
        <v>-16</v>
      </c>
      <c r="K17" s="22">
        <f t="shared" si="2"/>
        <v>1277.6919113858837</v>
      </c>
      <c r="L17">
        <v>16</v>
      </c>
      <c r="M17" s="22">
        <f t="shared" si="3"/>
        <v>1386.4430468204052</v>
      </c>
    </row>
    <row r="18" spans="1:13" ht="15" customHeight="1">
      <c r="A18" s="283"/>
      <c r="B18" s="283"/>
      <c r="C18" s="283"/>
      <c r="D18" s="283"/>
      <c r="E18">
        <v>850</v>
      </c>
      <c r="F18">
        <f t="shared" si="0"/>
        <v>-10.6</v>
      </c>
      <c r="G18" s="6">
        <f t="shared" si="1"/>
        <v>9.8000000000000007</v>
      </c>
      <c r="J18">
        <v>-17</v>
      </c>
      <c r="K18" s="22">
        <f t="shared" si="2"/>
        <v>1357.5476558475013</v>
      </c>
      <c r="L18">
        <v>17</v>
      </c>
      <c r="M18" s="22">
        <f t="shared" si="3"/>
        <v>1473.0957372466805</v>
      </c>
    </row>
    <row r="19" spans="1:13" ht="15" customHeight="1">
      <c r="A19" s="283"/>
      <c r="B19" s="283"/>
      <c r="C19" s="283"/>
      <c r="D19" s="283"/>
      <c r="E19">
        <v>900</v>
      </c>
      <c r="F19">
        <f t="shared" si="0"/>
        <v>-11.3</v>
      </c>
      <c r="G19" s="6">
        <f t="shared" si="1"/>
        <v>10.4</v>
      </c>
      <c r="J19">
        <v>-18</v>
      </c>
      <c r="K19" s="22">
        <f t="shared" si="2"/>
        <v>1437.4034003091192</v>
      </c>
      <c r="L19">
        <v>18</v>
      </c>
      <c r="M19" s="22">
        <f t="shared" si="3"/>
        <v>1559.7484276729558</v>
      </c>
    </row>
    <row r="20" spans="1:13">
      <c r="A20" s="283"/>
      <c r="B20" s="283"/>
      <c r="C20" s="283"/>
      <c r="D20" s="283"/>
      <c r="E20">
        <v>950</v>
      </c>
      <c r="F20">
        <f t="shared" si="0"/>
        <v>-11.9</v>
      </c>
      <c r="G20" s="6">
        <f t="shared" si="1"/>
        <v>11</v>
      </c>
      <c r="J20">
        <v>-19</v>
      </c>
      <c r="K20" s="22">
        <f t="shared" si="2"/>
        <v>1517.2591447707368</v>
      </c>
      <c r="L20">
        <v>19</v>
      </c>
      <c r="M20" s="22">
        <f t="shared" si="3"/>
        <v>1646.4011180992311</v>
      </c>
    </row>
    <row r="21" spans="1:13">
      <c r="A21" s="283"/>
      <c r="B21" s="283"/>
      <c r="C21" s="283"/>
      <c r="D21" s="283"/>
      <c r="E21">
        <v>1000</v>
      </c>
      <c r="F21">
        <f t="shared" si="0"/>
        <v>-12.5</v>
      </c>
      <c r="G21" s="6">
        <f t="shared" si="1"/>
        <v>11.5</v>
      </c>
      <c r="J21">
        <v>-20</v>
      </c>
      <c r="K21" s="22">
        <f t="shared" si="2"/>
        <v>1597.1148892323547</v>
      </c>
      <c r="L21">
        <v>20</v>
      </c>
      <c r="M21" s="22">
        <f t="shared" si="3"/>
        <v>1733.0538085255064</v>
      </c>
    </row>
    <row r="22" spans="1:13">
      <c r="E22">
        <v>1050</v>
      </c>
      <c r="F22">
        <f t="shared" si="0"/>
        <v>-13.1</v>
      </c>
      <c r="G22" s="6">
        <f t="shared" si="1"/>
        <v>12.1</v>
      </c>
      <c r="J22">
        <v>-21</v>
      </c>
      <c r="K22" s="22">
        <f t="shared" si="2"/>
        <v>1676.9706336939723</v>
      </c>
      <c r="L22">
        <v>21</v>
      </c>
      <c r="M22" s="22">
        <f t="shared" si="3"/>
        <v>1819.7064989517817</v>
      </c>
    </row>
    <row r="23" spans="1:13">
      <c r="E23">
        <v>1100</v>
      </c>
      <c r="F23">
        <f t="shared" si="0"/>
        <v>-13.8</v>
      </c>
      <c r="G23" s="6">
        <f t="shared" si="1"/>
        <v>12.7</v>
      </c>
      <c r="J23">
        <v>-22</v>
      </c>
      <c r="K23" s="22">
        <f t="shared" si="2"/>
        <v>1756.82637815559</v>
      </c>
      <c r="L23">
        <v>22</v>
      </c>
      <c r="M23" s="22">
        <f t="shared" si="3"/>
        <v>1906.3591893780572</v>
      </c>
    </row>
    <row r="24" spans="1:13">
      <c r="E24">
        <v>1150</v>
      </c>
      <c r="F24">
        <f t="shared" si="0"/>
        <v>-14.4</v>
      </c>
      <c r="G24" s="6">
        <f t="shared" si="1"/>
        <v>13.3</v>
      </c>
      <c r="J24">
        <v>-23</v>
      </c>
      <c r="K24" s="22">
        <f t="shared" si="2"/>
        <v>1836.6821226172078</v>
      </c>
      <c r="L24">
        <v>23</v>
      </c>
      <c r="M24" s="22">
        <f t="shared" si="3"/>
        <v>1993.0118798043325</v>
      </c>
    </row>
    <row r="25" spans="1:13">
      <c r="E25">
        <v>1200</v>
      </c>
      <c r="F25">
        <f t="shared" si="0"/>
        <v>-15</v>
      </c>
      <c r="G25" s="6">
        <f t="shared" si="1"/>
        <v>13.8</v>
      </c>
      <c r="J25">
        <v>-24</v>
      </c>
      <c r="K25" s="22">
        <f t="shared" si="2"/>
        <v>1916.5378670788255</v>
      </c>
      <c r="L25">
        <v>24</v>
      </c>
      <c r="M25" s="22">
        <f t="shared" si="3"/>
        <v>2079.6645702306078</v>
      </c>
    </row>
    <row r="26" spans="1:13">
      <c r="E26">
        <v>1250</v>
      </c>
      <c r="F26">
        <f t="shared" si="0"/>
        <v>-15.7</v>
      </c>
      <c r="G26" s="6">
        <f t="shared" si="1"/>
        <v>14.4</v>
      </c>
      <c r="J26">
        <v>-25</v>
      </c>
      <c r="K26" s="22">
        <f t="shared" si="2"/>
        <v>1996.3936115404433</v>
      </c>
      <c r="M26" s="22"/>
    </row>
    <row r="27" spans="1:13">
      <c r="E27">
        <v>1300</v>
      </c>
      <c r="F27">
        <f t="shared" si="0"/>
        <v>-16.3</v>
      </c>
      <c r="G27" s="6">
        <f t="shared" si="1"/>
        <v>15</v>
      </c>
      <c r="J27">
        <v>-26</v>
      </c>
      <c r="K27" s="22">
        <f t="shared" si="2"/>
        <v>2076.2493560020612</v>
      </c>
      <c r="M27" s="22"/>
    </row>
    <row r="28" spans="1:13">
      <c r="E28">
        <v>1350</v>
      </c>
      <c r="F28">
        <f t="shared" si="0"/>
        <v>-16.899999999999999</v>
      </c>
      <c r="G28" s="6">
        <f t="shared" si="1"/>
        <v>15.6</v>
      </c>
      <c r="J28">
        <v>-27</v>
      </c>
      <c r="K28" s="22">
        <f t="shared" si="2"/>
        <v>2156.1051004636788</v>
      </c>
      <c r="M28" s="22"/>
    </row>
    <row r="29" spans="1:13">
      <c r="E29">
        <v>1400</v>
      </c>
      <c r="F29">
        <f t="shared" si="0"/>
        <v>-17.5</v>
      </c>
      <c r="G29" s="6">
        <f t="shared" si="1"/>
        <v>16.2</v>
      </c>
      <c r="J29">
        <v>-28</v>
      </c>
      <c r="K29" s="22">
        <f t="shared" si="2"/>
        <v>2235.9608449252964</v>
      </c>
      <c r="M29" s="22"/>
    </row>
    <row r="30" spans="1:13">
      <c r="E30">
        <v>1450</v>
      </c>
      <c r="F30">
        <f t="shared" si="0"/>
        <v>-18.2</v>
      </c>
      <c r="G30" s="6">
        <f t="shared" si="1"/>
        <v>16.7</v>
      </c>
      <c r="J30">
        <v>-29</v>
      </c>
      <c r="K30" s="22">
        <f t="shared" si="2"/>
        <v>2315.8165893869141</v>
      </c>
      <c r="M30" s="22"/>
    </row>
    <row r="31" spans="1:13">
      <c r="E31">
        <v>1500</v>
      </c>
      <c r="F31">
        <f t="shared" si="0"/>
        <v>-18.8</v>
      </c>
      <c r="G31" s="6">
        <f t="shared" si="1"/>
        <v>17.3</v>
      </c>
      <c r="K31" s="22"/>
      <c r="M31" s="22"/>
    </row>
    <row r="32" spans="1:13">
      <c r="E32">
        <v>1550</v>
      </c>
      <c r="F32">
        <f t="shared" si="0"/>
        <v>-19.399999999999999</v>
      </c>
      <c r="G32" s="6">
        <f t="shared" si="1"/>
        <v>17.899999999999999</v>
      </c>
      <c r="K32" s="22"/>
      <c r="M32" s="22"/>
    </row>
    <row r="33" spans="5:14">
      <c r="E33">
        <v>1600</v>
      </c>
      <c r="F33">
        <f t="shared" si="0"/>
        <v>-20</v>
      </c>
      <c r="G33" s="6">
        <f t="shared" si="1"/>
        <v>18.5</v>
      </c>
      <c r="K33" s="22"/>
      <c r="M33" s="22"/>
    </row>
    <row r="34" spans="5:14">
      <c r="E34">
        <v>1650</v>
      </c>
      <c r="F34">
        <f t="shared" si="0"/>
        <v>-20.7</v>
      </c>
      <c r="G34" s="6">
        <f t="shared" si="1"/>
        <v>19</v>
      </c>
      <c r="K34" s="22"/>
      <c r="M34" s="22"/>
    </row>
    <row r="35" spans="5:14">
      <c r="E35">
        <v>1700</v>
      </c>
      <c r="F35">
        <f t="shared" si="0"/>
        <v>-21.3</v>
      </c>
      <c r="K35" s="22"/>
      <c r="N35" s="22"/>
    </row>
    <row r="36" spans="5:14">
      <c r="E36">
        <v>1750</v>
      </c>
      <c r="F36">
        <f t="shared" si="0"/>
        <v>-21.9</v>
      </c>
      <c r="K36" s="22"/>
      <c r="N36" s="22"/>
    </row>
    <row r="37" spans="5:14">
      <c r="E37">
        <v>1800</v>
      </c>
      <c r="F37">
        <f t="shared" si="0"/>
        <v>-22.5</v>
      </c>
      <c r="K37" s="22"/>
      <c r="N37" s="22"/>
    </row>
    <row r="38" spans="5:14">
      <c r="E38">
        <v>1850</v>
      </c>
      <c r="F38">
        <f t="shared" si="0"/>
        <v>-23.2</v>
      </c>
      <c r="K38" s="22"/>
      <c r="N38" s="22"/>
    </row>
  </sheetData>
  <mergeCells count="1">
    <mergeCell ref="A17:D21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M86"/>
  <sheetViews>
    <sheetView topLeftCell="A10" workbookViewId="0">
      <selection activeCell="J25" sqref="J25:M29"/>
    </sheetView>
  </sheetViews>
  <sheetFormatPr baseColWidth="10" defaultColWidth="11.42578125" defaultRowHeight="15"/>
  <cols>
    <col min="1" max="1" width="11.42578125" style="27"/>
    <col min="2" max="3" width="11.42578125" style="8"/>
    <col min="4" max="4" width="11.42578125" style="27"/>
  </cols>
  <sheetData>
    <row r="1" spans="1:4">
      <c r="A1" s="20"/>
      <c r="B1" s="20"/>
      <c r="C1" s="20"/>
      <c r="D1" s="20"/>
    </row>
    <row r="2" spans="1:4">
      <c r="A2" s="20" t="s">
        <v>62</v>
      </c>
      <c r="B2" s="20"/>
      <c r="C2" s="20"/>
      <c r="D2" s="25" t="s">
        <v>16</v>
      </c>
    </row>
    <row r="3" spans="1:4">
      <c r="A3" s="25" t="s">
        <v>10</v>
      </c>
      <c r="B3" s="20" t="s">
        <v>82</v>
      </c>
      <c r="C3" s="20"/>
      <c r="D3" s="26" t="s">
        <v>63</v>
      </c>
    </row>
    <row r="4" spans="1:4">
      <c r="A4" s="25">
        <v>500</v>
      </c>
      <c r="B4" s="33">
        <f>A4*1.2</f>
        <v>600</v>
      </c>
      <c r="C4" s="20">
        <v>-0.46400000000000002</v>
      </c>
      <c r="D4" s="25">
        <f t="shared" ref="D4:D31" si="0">ROUND(C4,2)</f>
        <v>-0.46</v>
      </c>
    </row>
    <row r="5" spans="1:4">
      <c r="A5" s="25">
        <v>1000</v>
      </c>
      <c r="B5" s="33">
        <f>A5*1.2</f>
        <v>1200</v>
      </c>
      <c r="C5" s="20">
        <v>-0.78</v>
      </c>
      <c r="D5" s="25">
        <f t="shared" si="0"/>
        <v>-0.78</v>
      </c>
    </row>
    <row r="6" spans="1:4">
      <c r="A6" s="25">
        <v>1500</v>
      </c>
      <c r="B6" s="33">
        <f t="shared" ref="B6:B31" si="1">A6*1.2</f>
        <v>1800</v>
      </c>
      <c r="C6" s="20">
        <v>-0.88400000000000001</v>
      </c>
      <c r="D6" s="25">
        <f t="shared" si="0"/>
        <v>-0.88</v>
      </c>
    </row>
    <row r="7" spans="1:4">
      <c r="A7" s="25">
        <v>2000</v>
      </c>
      <c r="B7" s="33">
        <f t="shared" si="1"/>
        <v>2400</v>
      </c>
      <c r="C7" s="20">
        <v>-0.80100000000000005</v>
      </c>
      <c r="D7" s="25">
        <f t="shared" si="0"/>
        <v>-0.8</v>
      </c>
    </row>
    <row r="8" spans="1:4">
      <c r="A8" s="25">
        <v>2500</v>
      </c>
      <c r="B8" s="33">
        <f t="shared" si="1"/>
        <v>3000</v>
      </c>
      <c r="C8" s="20">
        <v>-0.57199999999999995</v>
      </c>
      <c r="D8" s="25">
        <f t="shared" si="0"/>
        <v>-0.56999999999999995</v>
      </c>
    </row>
    <row r="9" spans="1:4">
      <c r="A9" s="25">
        <v>3000</v>
      </c>
      <c r="B9" s="33">
        <f t="shared" si="1"/>
        <v>3600</v>
      </c>
      <c r="C9" s="20">
        <v>-0.16400000000000001</v>
      </c>
      <c r="D9" s="25">
        <f t="shared" si="0"/>
        <v>-0.16</v>
      </c>
    </row>
    <row r="10" spans="1:4">
      <c r="A10" s="25">
        <v>3500</v>
      </c>
      <c r="B10" s="33">
        <f t="shared" si="1"/>
        <v>4200</v>
      </c>
      <c r="C10" s="20">
        <v>0.52400000000000002</v>
      </c>
      <c r="D10" s="25">
        <f t="shared" si="0"/>
        <v>0.52</v>
      </c>
    </row>
    <row r="11" spans="1:4">
      <c r="A11" s="25">
        <v>4000</v>
      </c>
      <c r="B11" s="33">
        <f t="shared" si="1"/>
        <v>4800</v>
      </c>
      <c r="C11" s="20">
        <v>1.5549999999999999</v>
      </c>
      <c r="D11" s="25">
        <f t="shared" si="0"/>
        <v>1.56</v>
      </c>
    </row>
    <row r="12" spans="1:4">
      <c r="A12" s="25">
        <v>4500</v>
      </c>
      <c r="B12" s="33">
        <f t="shared" si="1"/>
        <v>5400</v>
      </c>
      <c r="C12" s="20">
        <v>0.879</v>
      </c>
      <c r="D12" s="25">
        <f t="shared" si="0"/>
        <v>0.88</v>
      </c>
    </row>
    <row r="13" spans="1:4">
      <c r="A13" s="25">
        <v>5000</v>
      </c>
      <c r="B13" s="33">
        <f t="shared" si="1"/>
        <v>6000</v>
      </c>
      <c r="C13" s="20">
        <v>-0.309</v>
      </c>
      <c r="D13" s="25">
        <f t="shared" si="0"/>
        <v>-0.31</v>
      </c>
    </row>
    <row r="14" spans="1:4">
      <c r="A14" s="25">
        <v>5500</v>
      </c>
      <c r="B14" s="33">
        <f t="shared" si="1"/>
        <v>6600</v>
      </c>
      <c r="C14" s="20">
        <v>-1.609</v>
      </c>
      <c r="D14" s="25">
        <f t="shared" si="0"/>
        <v>-1.61</v>
      </c>
    </row>
    <row r="15" spans="1:4">
      <c r="A15" s="25">
        <v>6000</v>
      </c>
      <c r="B15" s="33">
        <f t="shared" si="1"/>
        <v>7200</v>
      </c>
      <c r="C15" s="20">
        <v>-2.944</v>
      </c>
      <c r="D15" s="25">
        <f t="shared" si="0"/>
        <v>-2.94</v>
      </c>
    </row>
    <row r="16" spans="1:4">
      <c r="A16" s="25">
        <v>6500</v>
      </c>
      <c r="B16" s="33">
        <f t="shared" si="1"/>
        <v>7800</v>
      </c>
      <c r="C16" s="20">
        <v>-4.266</v>
      </c>
      <c r="D16" s="25">
        <f t="shared" si="0"/>
        <v>-4.2699999999999996</v>
      </c>
    </row>
    <row r="17" spans="1:13">
      <c r="A17" s="25">
        <v>7000</v>
      </c>
      <c r="B17" s="33">
        <f t="shared" si="1"/>
        <v>8400</v>
      </c>
      <c r="C17" s="20">
        <v>-5.5819999999999999</v>
      </c>
      <c r="D17" s="25">
        <f t="shared" si="0"/>
        <v>-5.58</v>
      </c>
    </row>
    <row r="18" spans="1:13">
      <c r="A18" s="25">
        <v>7500</v>
      </c>
      <c r="B18" s="33">
        <f t="shared" si="1"/>
        <v>9000</v>
      </c>
      <c r="C18" s="20">
        <v>-6.8849999999999998</v>
      </c>
      <c r="D18" s="25">
        <f t="shared" si="0"/>
        <v>-6.89</v>
      </c>
    </row>
    <row r="19" spans="1:13">
      <c r="A19" s="25">
        <v>8000</v>
      </c>
      <c r="B19" s="33">
        <f t="shared" si="1"/>
        <v>9600</v>
      </c>
      <c r="C19" s="20">
        <v>-8.1679999999999993</v>
      </c>
      <c r="D19" s="25">
        <f t="shared" si="0"/>
        <v>-8.17</v>
      </c>
    </row>
    <row r="20" spans="1:13">
      <c r="A20" s="25">
        <v>8500</v>
      </c>
      <c r="B20" s="33">
        <f t="shared" si="1"/>
        <v>10200</v>
      </c>
      <c r="C20" s="20">
        <v>-9.4480000000000004</v>
      </c>
      <c r="D20" s="25">
        <f t="shared" si="0"/>
        <v>-9.4499999999999993</v>
      </c>
    </row>
    <row r="21" spans="1:13">
      <c r="A21" s="25">
        <v>9000</v>
      </c>
      <c r="B21" s="33">
        <f t="shared" si="1"/>
        <v>10800</v>
      </c>
      <c r="C21" s="20">
        <v>-10.71</v>
      </c>
      <c r="D21" s="25">
        <f t="shared" si="0"/>
        <v>-10.71</v>
      </c>
    </row>
    <row r="22" spans="1:13">
      <c r="A22" s="25">
        <v>9500</v>
      </c>
      <c r="B22" s="33">
        <f t="shared" si="1"/>
        <v>11400</v>
      </c>
      <c r="C22" s="20">
        <v>-11.965999999999999</v>
      </c>
      <c r="D22" s="25">
        <f t="shared" si="0"/>
        <v>-11.97</v>
      </c>
    </row>
    <row r="23" spans="1:13">
      <c r="A23" s="25">
        <v>10000</v>
      </c>
      <c r="B23" s="33">
        <f t="shared" si="1"/>
        <v>12000</v>
      </c>
      <c r="C23" s="20">
        <v>-13.194000000000001</v>
      </c>
      <c r="D23" s="25">
        <f t="shared" si="0"/>
        <v>-13.19</v>
      </c>
    </row>
    <row r="24" spans="1:13">
      <c r="A24" s="25">
        <v>10500</v>
      </c>
      <c r="B24" s="33">
        <f t="shared" si="1"/>
        <v>12600</v>
      </c>
      <c r="C24" s="20">
        <v>-14.433999999999999</v>
      </c>
      <c r="D24" s="25">
        <f t="shared" si="0"/>
        <v>-14.43</v>
      </c>
    </row>
    <row r="25" spans="1:13">
      <c r="A25" s="25">
        <v>11000</v>
      </c>
      <c r="B25" s="33">
        <f t="shared" si="1"/>
        <v>13200</v>
      </c>
      <c r="C25" s="20">
        <v>-15.662000000000001</v>
      </c>
      <c r="D25" s="25">
        <f t="shared" si="0"/>
        <v>-15.66</v>
      </c>
      <c r="J25" s="283" t="s">
        <v>240</v>
      </c>
      <c r="K25" s="283"/>
      <c r="L25" s="283"/>
      <c r="M25" s="283"/>
    </row>
    <row r="26" spans="1:13">
      <c r="A26" s="25">
        <v>11500</v>
      </c>
      <c r="B26" s="33">
        <f t="shared" si="1"/>
        <v>13800</v>
      </c>
      <c r="C26" s="20">
        <v>-16.914000000000001</v>
      </c>
      <c r="D26" s="25">
        <f t="shared" si="0"/>
        <v>-16.91</v>
      </c>
      <c r="J26" s="283"/>
      <c r="K26" s="283"/>
      <c r="L26" s="283"/>
      <c r="M26" s="283"/>
    </row>
    <row r="27" spans="1:13">
      <c r="A27" s="25">
        <v>12000</v>
      </c>
      <c r="B27" s="33">
        <f t="shared" si="1"/>
        <v>14400</v>
      </c>
      <c r="C27" s="20">
        <v>-18.193999999999999</v>
      </c>
      <c r="D27" s="25">
        <f t="shared" si="0"/>
        <v>-18.190000000000001</v>
      </c>
      <c r="J27" s="283"/>
      <c r="K27" s="283"/>
      <c r="L27" s="283"/>
      <c r="M27" s="283"/>
    </row>
    <row r="28" spans="1:13">
      <c r="A28" s="25">
        <v>12500</v>
      </c>
      <c r="B28" s="33">
        <f t="shared" si="1"/>
        <v>15000</v>
      </c>
      <c r="C28" s="20">
        <v>-19.518999999999998</v>
      </c>
      <c r="D28" s="25">
        <f t="shared" si="0"/>
        <v>-19.52</v>
      </c>
      <c r="J28" s="283"/>
      <c r="K28" s="283"/>
      <c r="L28" s="283"/>
      <c r="M28" s="283"/>
    </row>
    <row r="29" spans="1:13">
      <c r="A29" s="25">
        <v>13000</v>
      </c>
      <c r="B29" s="33">
        <f t="shared" si="1"/>
        <v>15600</v>
      </c>
      <c r="C29" s="20">
        <v>-20.8</v>
      </c>
      <c r="D29" s="25">
        <f t="shared" si="0"/>
        <v>-20.8</v>
      </c>
      <c r="J29" s="283"/>
      <c r="K29" s="283"/>
      <c r="L29" s="283"/>
      <c r="M29" s="283"/>
    </row>
    <row r="30" spans="1:13">
      <c r="A30" s="25">
        <v>13500</v>
      </c>
      <c r="B30" s="33">
        <f t="shared" si="1"/>
        <v>16200</v>
      </c>
      <c r="C30" s="20">
        <v>-21.782</v>
      </c>
      <c r="D30" s="25">
        <f t="shared" si="0"/>
        <v>-21.78</v>
      </c>
    </row>
    <row r="31" spans="1:13">
      <c r="A31" s="25">
        <v>13648</v>
      </c>
      <c r="B31" s="33">
        <f t="shared" si="1"/>
        <v>16377.599999999999</v>
      </c>
      <c r="C31" s="20">
        <v>-21.727</v>
      </c>
      <c r="D31" s="25">
        <f t="shared" si="0"/>
        <v>-21.73</v>
      </c>
    </row>
    <row r="32" spans="1:13">
      <c r="A32" s="25"/>
      <c r="B32" s="33"/>
      <c r="C32" s="20"/>
      <c r="D32" s="25"/>
    </row>
    <row r="33" spans="1:4">
      <c r="A33" s="25"/>
      <c r="B33" s="33"/>
      <c r="C33" s="20"/>
      <c r="D33" s="25"/>
    </row>
    <row r="34" spans="1:4">
      <c r="A34" s="25"/>
      <c r="B34" s="33"/>
      <c r="C34" s="20"/>
      <c r="D34" s="25"/>
    </row>
    <row r="35" spans="1:4">
      <c r="A35" s="25"/>
      <c r="B35" s="20"/>
      <c r="C35" s="20"/>
      <c r="D35" s="25"/>
    </row>
    <row r="36" spans="1:4">
      <c r="A36" s="25"/>
      <c r="B36" s="20"/>
      <c r="C36" s="20"/>
      <c r="D36" s="25"/>
    </row>
    <row r="37" spans="1:4">
      <c r="A37" s="25"/>
      <c r="B37" s="20"/>
      <c r="C37" s="20"/>
      <c r="D37" s="25"/>
    </row>
    <row r="38" spans="1:4">
      <c r="A38" s="25"/>
      <c r="B38" s="20"/>
      <c r="C38" s="20"/>
      <c r="D38" s="25"/>
    </row>
    <row r="39" spans="1:4">
      <c r="A39" s="25"/>
      <c r="B39" s="20"/>
      <c r="C39" s="20"/>
      <c r="D39" s="25"/>
    </row>
    <row r="40" spans="1:4">
      <c r="A40" s="25"/>
      <c r="B40" s="20"/>
      <c r="C40" s="20"/>
      <c r="D40" s="25"/>
    </row>
    <row r="41" spans="1:4">
      <c r="A41" s="25"/>
      <c r="B41" s="20"/>
      <c r="C41" s="20"/>
      <c r="D41" s="25"/>
    </row>
    <row r="42" spans="1:4">
      <c r="A42" s="25"/>
      <c r="B42" s="20"/>
      <c r="C42" s="20"/>
      <c r="D42" s="25"/>
    </row>
    <row r="43" spans="1:4">
      <c r="A43" s="25"/>
      <c r="B43" s="20"/>
      <c r="C43" s="20"/>
      <c r="D43" s="25"/>
    </row>
    <row r="44" spans="1:4">
      <c r="A44" s="25"/>
      <c r="B44" s="20"/>
      <c r="C44" s="20"/>
      <c r="D44" s="25"/>
    </row>
    <row r="45" spans="1:4">
      <c r="A45" s="25"/>
      <c r="B45" s="20"/>
      <c r="C45" s="20"/>
      <c r="D45" s="25"/>
    </row>
    <row r="46" spans="1:4">
      <c r="A46" s="25"/>
      <c r="B46" s="20"/>
      <c r="C46" s="20"/>
      <c r="D46" s="25"/>
    </row>
    <row r="47" spans="1:4">
      <c r="A47" s="25"/>
      <c r="B47" s="20"/>
      <c r="C47" s="20"/>
      <c r="D47" s="25"/>
    </row>
    <row r="48" spans="1:4">
      <c r="A48" s="25"/>
      <c r="B48" s="20"/>
      <c r="C48" s="20"/>
      <c r="D48" s="25"/>
    </row>
    <row r="49" spans="1:4">
      <c r="A49" s="25"/>
      <c r="B49" s="20"/>
      <c r="C49" s="20"/>
      <c r="D49" s="25"/>
    </row>
    <row r="50" spans="1:4">
      <c r="A50" s="25"/>
      <c r="B50" s="20"/>
      <c r="C50" s="20"/>
      <c r="D50" s="25"/>
    </row>
    <row r="51" spans="1:4">
      <c r="A51" s="25"/>
      <c r="B51" s="20"/>
      <c r="C51" s="20"/>
      <c r="D51" s="25"/>
    </row>
    <row r="52" spans="1:4">
      <c r="A52" s="25"/>
      <c r="B52" s="20"/>
      <c r="C52" s="20"/>
      <c r="D52" s="25"/>
    </row>
    <row r="53" spans="1:4">
      <c r="A53" s="25"/>
      <c r="B53" s="20"/>
      <c r="C53" s="20"/>
      <c r="D53" s="25"/>
    </row>
    <row r="54" spans="1:4">
      <c r="A54" s="25"/>
      <c r="B54" s="20"/>
      <c r="C54" s="20"/>
      <c r="D54" s="25"/>
    </row>
    <row r="55" spans="1:4">
      <c r="A55" s="25"/>
      <c r="B55" s="20"/>
      <c r="C55" s="20"/>
      <c r="D55" s="25"/>
    </row>
    <row r="56" spans="1:4">
      <c r="A56" s="25"/>
      <c r="B56" s="20"/>
      <c r="C56" s="20"/>
      <c r="D56" s="25"/>
    </row>
    <row r="57" spans="1:4">
      <c r="A57" s="25"/>
      <c r="B57" s="20"/>
      <c r="C57" s="20"/>
      <c r="D57" s="25"/>
    </row>
    <row r="58" spans="1:4">
      <c r="A58" s="25"/>
      <c r="B58" s="20"/>
      <c r="C58" s="20"/>
      <c r="D58" s="25"/>
    </row>
    <row r="59" spans="1:4">
      <c r="A59" s="25"/>
      <c r="B59" s="20"/>
      <c r="C59" s="20"/>
      <c r="D59" s="25"/>
    </row>
    <row r="60" spans="1:4">
      <c r="A60" s="25"/>
      <c r="B60" s="20"/>
      <c r="C60" s="20"/>
      <c r="D60" s="25"/>
    </row>
    <row r="61" spans="1:4">
      <c r="A61" s="25"/>
      <c r="B61" s="20"/>
      <c r="C61" s="20"/>
      <c r="D61" s="25"/>
    </row>
    <row r="62" spans="1:4">
      <c r="A62" s="25"/>
      <c r="B62" s="20"/>
      <c r="C62" s="20"/>
      <c r="D62" s="25"/>
    </row>
    <row r="63" spans="1:4">
      <c r="A63" s="25"/>
      <c r="B63" s="20"/>
      <c r="C63" s="20"/>
      <c r="D63" s="25"/>
    </row>
    <row r="64" spans="1:4">
      <c r="A64" s="25"/>
      <c r="B64" s="20"/>
      <c r="C64" s="20"/>
      <c r="D64" s="25"/>
    </row>
    <row r="65" spans="1:4">
      <c r="A65" s="25"/>
      <c r="B65" s="20"/>
      <c r="C65" s="20"/>
      <c r="D65" s="25"/>
    </row>
    <row r="66" spans="1:4">
      <c r="A66" s="25"/>
      <c r="B66" s="20"/>
      <c r="C66" s="20"/>
      <c r="D66" s="25"/>
    </row>
    <row r="67" spans="1:4">
      <c r="A67" s="25"/>
      <c r="B67" s="20"/>
      <c r="C67" s="20"/>
      <c r="D67" s="25"/>
    </row>
    <row r="68" spans="1:4">
      <c r="A68" s="25"/>
      <c r="B68" s="20"/>
      <c r="C68" s="20"/>
      <c r="D68" s="25"/>
    </row>
    <row r="69" spans="1:4">
      <c r="A69" s="25"/>
      <c r="B69" s="20"/>
      <c r="C69" s="20"/>
      <c r="D69" s="25"/>
    </row>
    <row r="70" spans="1:4">
      <c r="A70" s="25"/>
      <c r="B70" s="20"/>
      <c r="C70" s="20"/>
      <c r="D70" s="25"/>
    </row>
    <row r="71" spans="1:4">
      <c r="A71" s="25"/>
      <c r="B71" s="20"/>
      <c r="C71" s="20"/>
      <c r="D71" s="25"/>
    </row>
    <row r="72" spans="1:4">
      <c r="A72" s="25"/>
      <c r="B72" s="20"/>
      <c r="C72" s="20"/>
      <c r="D72" s="25"/>
    </row>
    <row r="73" spans="1:4">
      <c r="A73" s="25"/>
      <c r="B73" s="20"/>
      <c r="C73" s="20"/>
      <c r="D73" s="25"/>
    </row>
    <row r="74" spans="1:4">
      <c r="A74" s="25"/>
      <c r="B74" s="20"/>
      <c r="C74" s="20"/>
      <c r="D74" s="25"/>
    </row>
    <row r="75" spans="1:4">
      <c r="A75" s="25"/>
      <c r="B75" s="20"/>
      <c r="C75" s="20"/>
      <c r="D75" s="25"/>
    </row>
    <row r="76" spans="1:4">
      <c r="A76" s="25"/>
      <c r="B76" s="20"/>
      <c r="C76" s="20"/>
      <c r="D76" s="25"/>
    </row>
    <row r="77" spans="1:4">
      <c r="A77" s="25"/>
      <c r="B77" s="20"/>
      <c r="C77" s="20"/>
      <c r="D77" s="25"/>
    </row>
    <row r="78" spans="1:4">
      <c r="A78" s="25"/>
      <c r="B78" s="20"/>
      <c r="C78" s="20"/>
      <c r="D78" s="25"/>
    </row>
    <row r="79" spans="1:4">
      <c r="A79" s="25"/>
      <c r="B79" s="20"/>
      <c r="C79" s="20"/>
      <c r="D79" s="25"/>
    </row>
    <row r="80" spans="1:4">
      <c r="A80" s="25"/>
      <c r="B80" s="20"/>
      <c r="C80" s="20"/>
      <c r="D80" s="25"/>
    </row>
    <row r="81" spans="1:4">
      <c r="A81" s="25"/>
      <c r="B81" s="20"/>
      <c r="C81" s="20"/>
      <c r="D81" s="25"/>
    </row>
    <row r="82" spans="1:4">
      <c r="A82" s="25"/>
      <c r="B82" s="20"/>
      <c r="C82" s="20"/>
      <c r="D82" s="25"/>
    </row>
    <row r="83" spans="1:4">
      <c r="A83" s="25"/>
      <c r="B83" s="20"/>
      <c r="C83" s="20"/>
    </row>
    <row r="84" spans="1:4">
      <c r="A84" s="25"/>
      <c r="B84" s="20"/>
      <c r="C84" s="20"/>
    </row>
    <row r="85" spans="1:4">
      <c r="A85" s="25"/>
      <c r="B85" s="20"/>
      <c r="C85" s="20"/>
    </row>
    <row r="86" spans="1:4">
      <c r="A86" s="25"/>
      <c r="B86" s="20"/>
      <c r="C86" s="20"/>
    </row>
  </sheetData>
  <mergeCells count="1">
    <mergeCell ref="J25:M29"/>
  </mergeCells>
  <pageMargins left="0.7" right="0.7" top="0.78740157499999996" bottom="0.78740157499999996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2:BE43"/>
  <sheetViews>
    <sheetView zoomScale="80" zoomScaleNormal="80" workbookViewId="0">
      <selection activeCell="AQ42" sqref="AQ42"/>
    </sheetView>
  </sheetViews>
  <sheetFormatPr baseColWidth="10" defaultColWidth="11.42578125" defaultRowHeight="15"/>
  <cols>
    <col min="7" max="7" width="4.28515625" bestFit="1" customWidth="1"/>
    <col min="8" max="8" width="5.140625" customWidth="1"/>
    <col min="9" max="23" width="4.5703125" bestFit="1" customWidth="1"/>
    <col min="26" max="26" width="4.5703125" customWidth="1"/>
    <col min="27" max="37" width="4.5703125" bestFit="1" customWidth="1"/>
    <col min="39" max="39" width="4.42578125" bestFit="1" customWidth="1"/>
    <col min="40" max="43" width="12.140625" bestFit="1" customWidth="1"/>
    <col min="44" max="44" width="11.140625" bestFit="1" customWidth="1"/>
    <col min="45" max="47" width="12.140625" bestFit="1" customWidth="1"/>
    <col min="48" max="50" width="12.85546875" bestFit="1" customWidth="1"/>
    <col min="51" max="51" width="8.85546875" customWidth="1"/>
  </cols>
  <sheetData>
    <row r="2" spans="2:52">
      <c r="AM2">
        <v>5</v>
      </c>
      <c r="AN2" s="22">
        <f t="shared" ref="AN2:AZ11" si="0">(($AM2-65)*500)/((0.03682*AN$24)-0.804)</f>
        <v>54918.903086442348</v>
      </c>
      <c r="AO2" s="22">
        <f t="shared" si="0"/>
        <v>63475.942617747867</v>
      </c>
      <c r="AP2" s="22">
        <f t="shared" si="0"/>
        <v>75191.738934282403</v>
      </c>
      <c r="AQ2" s="22">
        <f t="shared" si="0"/>
        <v>92211.225179811867</v>
      </c>
      <c r="AR2" s="22">
        <f t="shared" si="0"/>
        <v>119189.51132300356</v>
      </c>
      <c r="AS2" s="22">
        <f t="shared" si="0"/>
        <v>168482.53397731093</v>
      </c>
      <c r="AT2" s="22">
        <f t="shared" si="0"/>
        <v>287301.2832790651</v>
      </c>
      <c r="AU2" s="22">
        <f t="shared" si="0"/>
        <v>974658.86939571053</v>
      </c>
      <c r="AV2" s="22">
        <f t="shared" si="0"/>
        <v>-699953.33644423867</v>
      </c>
      <c r="AW2" s="22">
        <f t="shared" si="0"/>
        <v>-257510.72961373403</v>
      </c>
      <c r="AX2" s="22">
        <f t="shared" si="0"/>
        <v>-157778.47901546239</v>
      </c>
      <c r="AY2" s="22">
        <f t="shared" si="0"/>
        <v>-113731.13958601869</v>
      </c>
      <c r="AZ2" s="22">
        <f t="shared" si="0"/>
        <v>-88909.96384328141</v>
      </c>
    </row>
    <row r="3" spans="2:52">
      <c r="B3" t="s">
        <v>61</v>
      </c>
      <c r="C3">
        <v>10</v>
      </c>
      <c r="F3" s="23">
        <v>51000</v>
      </c>
      <c r="G3" s="21">
        <f t="shared" ref="G3:V28" si="1">((((500*G$30 -32500)/$F3)+0.804)*100)/3.682</f>
        <v>7.1913175916754559</v>
      </c>
      <c r="H3" s="21">
        <f t="shared" ref="H3:W3" si="2">((((500*H$30 -32500)/$F3)+0.804)*100)/3.682</f>
        <v>8.5226486031675037</v>
      </c>
      <c r="I3" s="21">
        <f t="shared" si="2"/>
        <v>9.8539796146595542</v>
      </c>
      <c r="J3" s="21">
        <f t="shared" si="2"/>
        <v>11.185310626151603</v>
      </c>
      <c r="K3" s="21">
        <f t="shared" si="2"/>
        <v>12.516641637643653</v>
      </c>
      <c r="L3" s="21">
        <f t="shared" si="2"/>
        <v>13.847972649135698</v>
      </c>
      <c r="M3" s="21">
        <f t="shared" si="2"/>
        <v>15.179303660627749</v>
      </c>
      <c r="N3" s="21">
        <f t="shared" si="2"/>
        <v>16.510634672119799</v>
      </c>
      <c r="O3" s="21">
        <f t="shared" si="2"/>
        <v>17.84196568361185</v>
      </c>
      <c r="P3" s="21">
        <f t="shared" si="2"/>
        <v>19.1732966951039</v>
      </c>
      <c r="Q3" s="21">
        <f t="shared" si="2"/>
        <v>20.504627706595947</v>
      </c>
      <c r="R3" s="21">
        <f t="shared" si="2"/>
        <v>21.835958718087998</v>
      </c>
      <c r="S3" s="21">
        <f t="shared" si="2"/>
        <v>23.167289729580048</v>
      </c>
      <c r="T3" s="21">
        <f t="shared" si="2"/>
        <v>24.498620741072095</v>
      </c>
      <c r="U3" s="21">
        <f t="shared" si="2"/>
        <v>25.829951752564146</v>
      </c>
      <c r="V3" s="21">
        <f t="shared" si="2"/>
        <v>27.161282764056196</v>
      </c>
      <c r="W3" s="21">
        <f t="shared" si="2"/>
        <v>28.492613775548246</v>
      </c>
      <c r="Y3" s="23">
        <v>51000</v>
      </c>
      <c r="Z3" s="21">
        <f t="shared" ref="Z3:AK24" si="3">(($Y3*(0.03682*Z$30-0.804))/500)+65</f>
        <v>9.2814799999999877</v>
      </c>
      <c r="AA3" s="21">
        <f t="shared" si="3"/>
        <v>16.792759999999994</v>
      </c>
      <c r="AB3" s="21">
        <f t="shared" si="3"/>
        <v>24.304039999999993</v>
      </c>
      <c r="AC3" s="21">
        <f t="shared" si="3"/>
        <v>31.815319999999993</v>
      </c>
      <c r="AD3" s="21">
        <f t="shared" si="3"/>
        <v>39.326599999999999</v>
      </c>
      <c r="AE3" s="21">
        <f t="shared" si="3"/>
        <v>46.837879999999991</v>
      </c>
      <c r="AF3" s="21">
        <f t="shared" si="3"/>
        <v>54.349159999999991</v>
      </c>
      <c r="AG3" s="21">
        <f t="shared" si="3"/>
        <v>61.860439999999997</v>
      </c>
      <c r="AH3" s="21">
        <f t="shared" si="3"/>
        <v>69.371719999999982</v>
      </c>
      <c r="AI3" s="21">
        <f t="shared" si="3"/>
        <v>76.882999999999996</v>
      </c>
      <c r="AJ3" s="21">
        <f t="shared" si="3"/>
        <v>84.394279999999981</v>
      </c>
      <c r="AK3" s="21">
        <f t="shared" si="3"/>
        <v>91.905559999999994</v>
      </c>
      <c r="AM3">
        <v>10</v>
      </c>
      <c r="AN3" s="22">
        <f t="shared" si="0"/>
        <v>50342.327829238813</v>
      </c>
      <c r="AO3" s="22">
        <f t="shared" si="0"/>
        <v>58186.280732935549</v>
      </c>
      <c r="AP3" s="22">
        <f t="shared" si="0"/>
        <v>68925.76068975887</v>
      </c>
      <c r="AQ3" s="22">
        <f t="shared" si="0"/>
        <v>84526.956414827553</v>
      </c>
      <c r="AR3" s="22">
        <f t="shared" si="0"/>
        <v>109257.0520460866</v>
      </c>
      <c r="AS3" s="22">
        <f t="shared" si="0"/>
        <v>154442.32281253501</v>
      </c>
      <c r="AT3" s="22">
        <f t="shared" si="0"/>
        <v>263359.50967247639</v>
      </c>
      <c r="AU3" s="22">
        <f t="shared" si="0"/>
        <v>893437.29694606806</v>
      </c>
      <c r="AV3" s="22">
        <f t="shared" si="0"/>
        <v>-641623.89174055215</v>
      </c>
      <c r="AW3" s="22">
        <f t="shared" si="0"/>
        <v>-236051.50214592289</v>
      </c>
      <c r="AX3" s="22">
        <f t="shared" si="0"/>
        <v>-144630.27243084053</v>
      </c>
      <c r="AY3" s="22">
        <f t="shared" si="0"/>
        <v>-104253.54462051713</v>
      </c>
      <c r="AZ3" s="22">
        <f t="shared" si="0"/>
        <v>-81500.800189674628</v>
      </c>
    </row>
    <row r="4" spans="2:52">
      <c r="B4" t="s">
        <v>83</v>
      </c>
      <c r="C4">
        <v>1</v>
      </c>
      <c r="F4" s="23">
        <v>50000</v>
      </c>
      <c r="G4" s="21">
        <f t="shared" si="1"/>
        <v>6.8984247691472023</v>
      </c>
      <c r="H4" s="21">
        <f t="shared" si="1"/>
        <v>8.2563824008690947</v>
      </c>
      <c r="I4" s="21">
        <f t="shared" si="1"/>
        <v>9.6143400325909845</v>
      </c>
      <c r="J4" s="21">
        <f t="shared" si="1"/>
        <v>10.972297664312876</v>
      </c>
      <c r="K4" s="21">
        <f t="shared" si="1"/>
        <v>12.330255296034766</v>
      </c>
      <c r="L4" s="21">
        <f t="shared" si="1"/>
        <v>13.688212927756654</v>
      </c>
      <c r="M4" s="21">
        <f t="shared" si="1"/>
        <v>15.046170559478545</v>
      </c>
      <c r="N4" s="21">
        <f t="shared" si="1"/>
        <v>16.404128191200435</v>
      </c>
      <c r="O4" s="21">
        <f t="shared" si="1"/>
        <v>17.762085822922327</v>
      </c>
      <c r="P4" s="21">
        <f t="shared" si="1"/>
        <v>19.120043454644218</v>
      </c>
      <c r="Q4" s="21">
        <f t="shared" si="1"/>
        <v>20.478001086366106</v>
      </c>
      <c r="R4" s="21">
        <f t="shared" si="1"/>
        <v>21.835958718087998</v>
      </c>
      <c r="S4" s="21">
        <f t="shared" si="1"/>
        <v>23.193916349809889</v>
      </c>
      <c r="T4" s="21">
        <f t="shared" si="1"/>
        <v>24.551873981531777</v>
      </c>
      <c r="U4" s="21">
        <f t="shared" si="1"/>
        <v>25.909831613253669</v>
      </c>
      <c r="V4" s="21">
        <f t="shared" si="1"/>
        <v>27.26778924497556</v>
      </c>
      <c r="W4" s="21">
        <f t="shared" ref="W4:W17" si="4">((((500*W$30 -32500)/$F4)+0.804)*100)/3.682</f>
        <v>28.625746876697448</v>
      </c>
      <c r="Y4" s="23">
        <v>50000</v>
      </c>
      <c r="Z4" s="21">
        <f t="shared" si="3"/>
        <v>10.373999999999995</v>
      </c>
      <c r="AA4" s="21">
        <f t="shared" si="3"/>
        <v>17.737999999999992</v>
      </c>
      <c r="AB4" s="21">
        <f t="shared" si="3"/>
        <v>25.10199999999999</v>
      </c>
      <c r="AC4" s="21">
        <f t="shared" si="3"/>
        <v>32.465999999999994</v>
      </c>
      <c r="AD4" s="21">
        <f t="shared" si="3"/>
        <v>39.83</v>
      </c>
      <c r="AE4" s="21">
        <f t="shared" si="3"/>
        <v>47.193999999999988</v>
      </c>
      <c r="AF4" s="21">
        <f t="shared" si="3"/>
        <v>54.557999999999993</v>
      </c>
      <c r="AG4" s="21">
        <f t="shared" si="3"/>
        <v>61.921999999999997</v>
      </c>
      <c r="AH4" s="21">
        <f t="shared" si="3"/>
        <v>69.285999999999987</v>
      </c>
      <c r="AI4" s="21">
        <f t="shared" si="3"/>
        <v>76.649999999999991</v>
      </c>
      <c r="AJ4" s="21">
        <f t="shared" si="3"/>
        <v>84.013999999999982</v>
      </c>
      <c r="AK4" s="21">
        <f t="shared" si="3"/>
        <v>91.377999999999986</v>
      </c>
      <c r="AM4">
        <v>15</v>
      </c>
      <c r="AN4" s="22">
        <f t="shared" si="0"/>
        <v>45765.752572035286</v>
      </c>
      <c r="AO4" s="22">
        <f t="shared" si="0"/>
        <v>52896.618848123224</v>
      </c>
      <c r="AP4" s="22">
        <f t="shared" si="0"/>
        <v>62659.782445235338</v>
      </c>
      <c r="AQ4" s="22">
        <f t="shared" si="0"/>
        <v>76842.687649843225</v>
      </c>
      <c r="AR4" s="22">
        <f t="shared" si="0"/>
        <v>99324.592769169627</v>
      </c>
      <c r="AS4" s="22">
        <f t="shared" si="0"/>
        <v>140402.1116477591</v>
      </c>
      <c r="AT4" s="22">
        <f t="shared" si="0"/>
        <v>239417.73606588761</v>
      </c>
      <c r="AU4" s="22">
        <f t="shared" si="0"/>
        <v>812215.72449642548</v>
      </c>
      <c r="AV4" s="22">
        <f t="shared" si="0"/>
        <v>-583294.44703686563</v>
      </c>
      <c r="AW4" s="22">
        <f t="shared" si="0"/>
        <v>-214592.27467811172</v>
      </c>
      <c r="AX4" s="22">
        <f t="shared" si="0"/>
        <v>-131482.06584621867</v>
      </c>
      <c r="AY4" s="22">
        <f t="shared" si="0"/>
        <v>-94775.949655015575</v>
      </c>
      <c r="AZ4" s="22">
        <f t="shared" si="0"/>
        <v>-74091.636536067846</v>
      </c>
    </row>
    <row r="5" spans="2:52">
      <c r="B5" t="s">
        <v>16</v>
      </c>
      <c r="C5">
        <f>((C4*(C3-16.7))/500)</f>
        <v>-1.3399999999999999E-2</v>
      </c>
      <c r="F5" s="23">
        <v>49000</v>
      </c>
      <c r="G5" s="21">
        <f t="shared" si="1"/>
        <v>6.593577137536168</v>
      </c>
      <c r="H5" s="21">
        <f t="shared" si="1"/>
        <v>7.9792481903136059</v>
      </c>
      <c r="I5" s="21">
        <f t="shared" si="1"/>
        <v>9.3649192430910446</v>
      </c>
      <c r="J5" s="21">
        <f t="shared" si="1"/>
        <v>10.750590295868486</v>
      </c>
      <c r="K5" s="21">
        <f t="shared" si="1"/>
        <v>12.136261348645924</v>
      </c>
      <c r="L5" s="21">
        <f t="shared" si="1"/>
        <v>13.521932401423362</v>
      </c>
      <c r="M5" s="21">
        <f t="shared" si="1"/>
        <v>14.907603454200803</v>
      </c>
      <c r="N5" s="21">
        <f t="shared" si="1"/>
        <v>16.293274506978243</v>
      </c>
      <c r="O5" s="21">
        <f t="shared" si="1"/>
        <v>17.678945559755679</v>
      </c>
      <c r="P5" s="21">
        <f t="shared" si="1"/>
        <v>19.064616612533122</v>
      </c>
      <c r="Q5" s="21">
        <f t="shared" si="1"/>
        <v>20.450287665310562</v>
      </c>
      <c r="R5" s="21">
        <f t="shared" si="1"/>
        <v>21.835958718087998</v>
      </c>
      <c r="S5" s="21">
        <f t="shared" si="1"/>
        <v>23.221629770865434</v>
      </c>
      <c r="T5" s="21">
        <f t="shared" si="1"/>
        <v>24.607300823642873</v>
      </c>
      <c r="U5" s="21">
        <f t="shared" si="1"/>
        <v>25.992971876420317</v>
      </c>
      <c r="V5" s="21">
        <f t="shared" si="1"/>
        <v>27.378642929197753</v>
      </c>
      <c r="W5" s="21">
        <f t="shared" si="4"/>
        <v>28.764313981975192</v>
      </c>
      <c r="Y5" s="23">
        <v>49000</v>
      </c>
      <c r="Z5" s="21">
        <f t="shared" si="3"/>
        <v>11.466519999999988</v>
      </c>
      <c r="AA5" s="21">
        <f t="shared" si="3"/>
        <v>18.683239999999998</v>
      </c>
      <c r="AB5" s="21">
        <f t="shared" si="3"/>
        <v>25.899959999999993</v>
      </c>
      <c r="AC5" s="21">
        <f t="shared" si="3"/>
        <v>33.116679999999988</v>
      </c>
      <c r="AD5" s="21">
        <f t="shared" si="3"/>
        <v>40.333399999999997</v>
      </c>
      <c r="AE5" s="21">
        <f t="shared" si="3"/>
        <v>47.550119999999993</v>
      </c>
      <c r="AF5" s="21">
        <f t="shared" si="3"/>
        <v>54.766839999999995</v>
      </c>
      <c r="AG5" s="21">
        <f t="shared" si="3"/>
        <v>61.983559999999997</v>
      </c>
      <c r="AH5" s="21">
        <f t="shared" si="3"/>
        <v>69.200279999999992</v>
      </c>
      <c r="AI5" s="21">
        <f t="shared" si="3"/>
        <v>76.417000000000002</v>
      </c>
      <c r="AJ5" s="21">
        <f t="shared" si="3"/>
        <v>83.633719999999983</v>
      </c>
      <c r="AK5" s="21">
        <f t="shared" si="3"/>
        <v>90.850439999999992</v>
      </c>
      <c r="AM5">
        <v>20</v>
      </c>
      <c r="AN5" s="22">
        <f t="shared" si="0"/>
        <v>41189.177314831759</v>
      </c>
      <c r="AO5" s="22">
        <f t="shared" si="0"/>
        <v>47606.956963310899</v>
      </c>
      <c r="AP5" s="22">
        <f t="shared" si="0"/>
        <v>56393.804200711806</v>
      </c>
      <c r="AQ5" s="22">
        <f t="shared" si="0"/>
        <v>69158.418884858896</v>
      </c>
      <c r="AR5" s="22">
        <f t="shared" si="0"/>
        <v>89392.133492252673</v>
      </c>
      <c r="AS5" s="22">
        <f t="shared" si="0"/>
        <v>126361.90048298318</v>
      </c>
      <c r="AT5" s="22">
        <f t="shared" si="0"/>
        <v>215475.96245929884</v>
      </c>
      <c r="AU5" s="22">
        <f t="shared" si="0"/>
        <v>730994.1520467829</v>
      </c>
      <c r="AV5" s="22">
        <f t="shared" si="0"/>
        <v>-524965.002333179</v>
      </c>
      <c r="AW5" s="22">
        <f t="shared" si="0"/>
        <v>-193133.04721030054</v>
      </c>
      <c r="AX5" s="22">
        <f t="shared" si="0"/>
        <v>-118333.85926159681</v>
      </c>
      <c r="AY5" s="22">
        <f t="shared" si="0"/>
        <v>-85298.354689514017</v>
      </c>
      <c r="AZ5" s="22">
        <f t="shared" si="0"/>
        <v>-66682.472882461065</v>
      </c>
    </row>
    <row r="6" spans="2:52">
      <c r="F6" s="23">
        <v>48000</v>
      </c>
      <c r="G6" s="21">
        <f t="shared" si="1"/>
        <v>6.2760275212746715</v>
      </c>
      <c r="H6" s="21">
        <f t="shared" si="1"/>
        <v>7.6905667209849717</v>
      </c>
      <c r="I6" s="21">
        <f t="shared" si="1"/>
        <v>9.1051059206952765</v>
      </c>
      <c r="J6" s="21">
        <f t="shared" si="1"/>
        <v>10.519645120405578</v>
      </c>
      <c r="K6" s="21">
        <f t="shared" si="1"/>
        <v>11.934184320115881</v>
      </c>
      <c r="L6" s="21">
        <f t="shared" si="1"/>
        <v>13.348723519826184</v>
      </c>
      <c r="M6" s="21">
        <f t="shared" si="1"/>
        <v>14.763262719536485</v>
      </c>
      <c r="N6" s="21">
        <f t="shared" si="1"/>
        <v>16.177801919246786</v>
      </c>
      <c r="O6" s="21">
        <f t="shared" si="1"/>
        <v>17.592341118957091</v>
      </c>
      <c r="P6" s="21">
        <f t="shared" si="1"/>
        <v>19.006880318667395</v>
      </c>
      <c r="Q6" s="21">
        <f t="shared" si="1"/>
        <v>20.421419518377693</v>
      </c>
      <c r="R6" s="21">
        <f t="shared" si="1"/>
        <v>21.835958718087998</v>
      </c>
      <c r="S6" s="21">
        <f t="shared" si="1"/>
        <v>23.250497917798302</v>
      </c>
      <c r="T6" s="21">
        <f t="shared" si="1"/>
        <v>24.6650371175086</v>
      </c>
      <c r="U6" s="21">
        <f t="shared" si="1"/>
        <v>26.079576317218905</v>
      </c>
      <c r="V6" s="21">
        <f t="shared" si="1"/>
        <v>27.494115516929206</v>
      </c>
      <c r="W6" s="21">
        <f t="shared" si="4"/>
        <v>28.908654716639511</v>
      </c>
      <c r="Y6" s="23">
        <v>48000</v>
      </c>
      <c r="Z6" s="21">
        <f t="shared" si="3"/>
        <v>12.559039999999996</v>
      </c>
      <c r="AA6" s="21">
        <f t="shared" si="3"/>
        <v>19.628479999999996</v>
      </c>
      <c r="AB6" s="21">
        <f t="shared" si="3"/>
        <v>26.697919999999989</v>
      </c>
      <c r="AC6" s="21">
        <f t="shared" si="3"/>
        <v>33.767359999999996</v>
      </c>
      <c r="AD6" s="21">
        <f t="shared" si="3"/>
        <v>40.836799999999997</v>
      </c>
      <c r="AE6" s="21">
        <f t="shared" si="3"/>
        <v>47.90623999999999</v>
      </c>
      <c r="AF6" s="21">
        <f t="shared" si="3"/>
        <v>54.975679999999997</v>
      </c>
      <c r="AG6" s="21">
        <f t="shared" si="3"/>
        <v>62.045119999999997</v>
      </c>
      <c r="AH6" s="21">
        <f t="shared" si="3"/>
        <v>69.114559999999983</v>
      </c>
      <c r="AI6" s="21">
        <f t="shared" si="3"/>
        <v>76.183999999999997</v>
      </c>
      <c r="AJ6" s="21">
        <f t="shared" si="3"/>
        <v>83.253439999999983</v>
      </c>
      <c r="AK6" s="21">
        <f t="shared" si="3"/>
        <v>90.322879999999998</v>
      </c>
      <c r="AM6">
        <v>25</v>
      </c>
      <c r="AN6" s="22">
        <f t="shared" si="0"/>
        <v>36612.602057628232</v>
      </c>
      <c r="AO6" s="22">
        <f t="shared" si="0"/>
        <v>42317.295078498581</v>
      </c>
      <c r="AP6" s="22">
        <f t="shared" si="0"/>
        <v>50127.825956188273</v>
      </c>
      <c r="AQ6" s="22">
        <f t="shared" si="0"/>
        <v>61474.150119874575</v>
      </c>
      <c r="AR6" s="22">
        <f t="shared" si="0"/>
        <v>79459.674215335705</v>
      </c>
      <c r="AS6" s="22">
        <f t="shared" si="0"/>
        <v>112321.68931820728</v>
      </c>
      <c r="AT6" s="22">
        <f t="shared" si="0"/>
        <v>191534.1888527101</v>
      </c>
      <c r="AU6" s="22">
        <f t="shared" si="0"/>
        <v>649772.57959714043</v>
      </c>
      <c r="AV6" s="22">
        <f t="shared" si="0"/>
        <v>-466635.55762949248</v>
      </c>
      <c r="AW6" s="22">
        <f t="shared" si="0"/>
        <v>-171673.81974248937</v>
      </c>
      <c r="AX6" s="22">
        <f t="shared" si="0"/>
        <v>-105185.65267697493</v>
      </c>
      <c r="AY6" s="22">
        <f t="shared" si="0"/>
        <v>-75820.75972401246</v>
      </c>
      <c r="AZ6" s="22">
        <f t="shared" si="0"/>
        <v>-59273.309228854276</v>
      </c>
    </row>
    <row r="7" spans="2:52">
      <c r="F7" s="23">
        <v>47000</v>
      </c>
      <c r="G7" s="21">
        <f t="shared" si="1"/>
        <v>5.9449651553850247</v>
      </c>
      <c r="H7" s="21">
        <f t="shared" si="1"/>
        <v>7.3896009338125683</v>
      </c>
      <c r="I7" s="21">
        <f t="shared" si="1"/>
        <v>8.8342367122401111</v>
      </c>
      <c r="J7" s="21">
        <f t="shared" si="1"/>
        <v>10.278872490667656</v>
      </c>
      <c r="K7" s="21">
        <f t="shared" si="1"/>
        <v>11.723508269095198</v>
      </c>
      <c r="L7" s="21">
        <f t="shared" si="1"/>
        <v>13.168144047522739</v>
      </c>
      <c r="M7" s="21">
        <f t="shared" si="1"/>
        <v>14.612779825950284</v>
      </c>
      <c r="N7" s="21">
        <f t="shared" si="1"/>
        <v>16.057415604377827</v>
      </c>
      <c r="O7" s="21">
        <f t="shared" si="1"/>
        <v>17.502051382805369</v>
      </c>
      <c r="P7" s="21">
        <f t="shared" si="1"/>
        <v>18.946687161232912</v>
      </c>
      <c r="Q7" s="21">
        <f t="shared" si="1"/>
        <v>20.391322939660451</v>
      </c>
      <c r="R7" s="21">
        <f t="shared" si="1"/>
        <v>21.835958718087998</v>
      </c>
      <c r="S7" s="21">
        <f t="shared" si="1"/>
        <v>23.28059449651554</v>
      </c>
      <c r="T7" s="21">
        <f t="shared" si="1"/>
        <v>24.725230274943083</v>
      </c>
      <c r="U7" s="21">
        <f t="shared" si="1"/>
        <v>26.169866053370626</v>
      </c>
      <c r="V7" s="21">
        <f t="shared" si="1"/>
        <v>27.614501831798172</v>
      </c>
      <c r="W7" s="21">
        <f t="shared" si="4"/>
        <v>29.059137610225708</v>
      </c>
      <c r="Y7" s="23">
        <v>47000</v>
      </c>
      <c r="Z7" s="21">
        <f t="shared" si="3"/>
        <v>13.651559999999989</v>
      </c>
      <c r="AA7" s="21">
        <f t="shared" si="3"/>
        <v>20.573719999999994</v>
      </c>
      <c r="AB7" s="21">
        <f t="shared" si="3"/>
        <v>27.49588</v>
      </c>
      <c r="AC7" s="21">
        <f t="shared" si="3"/>
        <v>34.418039999999991</v>
      </c>
      <c r="AD7" s="21">
        <f t="shared" si="3"/>
        <v>41.340199999999996</v>
      </c>
      <c r="AE7" s="21">
        <f t="shared" si="3"/>
        <v>48.262359999999987</v>
      </c>
      <c r="AF7" s="21">
        <f t="shared" si="3"/>
        <v>55.184519999999992</v>
      </c>
      <c r="AG7" s="21">
        <f t="shared" si="3"/>
        <v>62.106679999999997</v>
      </c>
      <c r="AH7" s="21">
        <f t="shared" si="3"/>
        <v>69.028839999999988</v>
      </c>
      <c r="AI7" s="21">
        <f t="shared" si="3"/>
        <v>75.950999999999993</v>
      </c>
      <c r="AJ7" s="21">
        <f t="shared" si="3"/>
        <v>82.873159999999984</v>
      </c>
      <c r="AK7" s="21">
        <f t="shared" si="3"/>
        <v>89.79531999999999</v>
      </c>
      <c r="AM7">
        <v>30</v>
      </c>
      <c r="AN7" s="22">
        <f t="shared" si="0"/>
        <v>32036.026800424701</v>
      </c>
      <c r="AO7" s="22">
        <f t="shared" si="0"/>
        <v>37027.633193686255</v>
      </c>
      <c r="AP7" s="22">
        <f t="shared" si="0"/>
        <v>43861.847711664741</v>
      </c>
      <c r="AQ7" s="22">
        <f t="shared" si="0"/>
        <v>53789.881354890254</v>
      </c>
      <c r="AR7" s="22">
        <f t="shared" si="0"/>
        <v>69527.214938418736</v>
      </c>
      <c r="AS7" s="22">
        <f t="shared" si="0"/>
        <v>98281.478153431366</v>
      </c>
      <c r="AT7" s="22">
        <f t="shared" si="0"/>
        <v>167592.41524612132</v>
      </c>
      <c r="AU7" s="22">
        <f t="shared" si="0"/>
        <v>568551.00714749785</v>
      </c>
      <c r="AV7" s="22">
        <f t="shared" si="0"/>
        <v>-408306.11292580591</v>
      </c>
      <c r="AW7" s="22">
        <f t="shared" si="0"/>
        <v>-150214.5922746782</v>
      </c>
      <c r="AX7" s="22">
        <f t="shared" si="0"/>
        <v>-92037.446092353071</v>
      </c>
      <c r="AY7" s="22">
        <f t="shared" si="0"/>
        <v>-66343.164758510902</v>
      </c>
      <c r="AZ7" s="22">
        <f t="shared" si="0"/>
        <v>-51864.145575247494</v>
      </c>
    </row>
    <row r="8" spans="2:52">
      <c r="F8" s="23">
        <v>46000</v>
      </c>
      <c r="G8" s="21">
        <f t="shared" si="1"/>
        <v>5.5995087735871358</v>
      </c>
      <c r="H8" s="21">
        <f t="shared" si="1"/>
        <v>7.0755496776326687</v>
      </c>
      <c r="I8" s="21">
        <f t="shared" si="1"/>
        <v>8.5515905816782016</v>
      </c>
      <c r="J8" s="21">
        <f t="shared" si="1"/>
        <v>10.027631485723735</v>
      </c>
      <c r="K8" s="21">
        <f t="shared" si="1"/>
        <v>11.503672389769266</v>
      </c>
      <c r="L8" s="21">
        <f t="shared" si="1"/>
        <v>12.9797132938148</v>
      </c>
      <c r="M8" s="21">
        <f t="shared" si="1"/>
        <v>14.455754197860333</v>
      </c>
      <c r="N8" s="21">
        <f t="shared" si="1"/>
        <v>15.931795101905866</v>
      </c>
      <c r="O8" s="21">
        <f t="shared" si="1"/>
        <v>17.407836005951395</v>
      </c>
      <c r="P8" s="21">
        <f t="shared" si="1"/>
        <v>18.883876909996928</v>
      </c>
      <c r="Q8" s="21">
        <f t="shared" si="1"/>
        <v>20.359917814042465</v>
      </c>
      <c r="R8" s="21">
        <f t="shared" si="1"/>
        <v>21.835958718087998</v>
      </c>
      <c r="S8" s="21">
        <f t="shared" si="1"/>
        <v>23.311999622133531</v>
      </c>
      <c r="T8" s="21">
        <f t="shared" si="1"/>
        <v>24.788040526179067</v>
      </c>
      <c r="U8" s="21">
        <f t="shared" si="1"/>
        <v>26.2640814302246</v>
      </c>
      <c r="V8" s="21">
        <f t="shared" si="1"/>
        <v>27.740122334270129</v>
      </c>
      <c r="W8" s="21">
        <f t="shared" si="4"/>
        <v>29.216163238315659</v>
      </c>
      <c r="Y8" s="23">
        <v>46000</v>
      </c>
      <c r="Z8" s="21">
        <f t="shared" si="3"/>
        <v>14.744079999999997</v>
      </c>
      <c r="AA8" s="21">
        <f t="shared" si="3"/>
        <v>21.51896</v>
      </c>
      <c r="AB8" s="21">
        <f t="shared" si="3"/>
        <v>28.293839999999996</v>
      </c>
      <c r="AC8" s="21">
        <f t="shared" si="3"/>
        <v>35.068719999999999</v>
      </c>
      <c r="AD8" s="21">
        <f t="shared" si="3"/>
        <v>41.843599999999995</v>
      </c>
      <c r="AE8" s="21">
        <f t="shared" si="3"/>
        <v>48.618479999999991</v>
      </c>
      <c r="AF8" s="21">
        <f t="shared" si="3"/>
        <v>55.393359999999994</v>
      </c>
      <c r="AG8" s="21">
        <f t="shared" si="3"/>
        <v>62.168239999999997</v>
      </c>
      <c r="AH8" s="21">
        <f t="shared" si="3"/>
        <v>68.943119999999993</v>
      </c>
      <c r="AI8" s="21">
        <f t="shared" si="3"/>
        <v>75.717999999999989</v>
      </c>
      <c r="AJ8" s="21">
        <f t="shared" si="3"/>
        <v>82.492879999999985</v>
      </c>
      <c r="AK8" s="21">
        <f t="shared" si="3"/>
        <v>89.267759999999996</v>
      </c>
      <c r="AM8">
        <v>35</v>
      </c>
      <c r="AN8" s="22">
        <f t="shared" si="0"/>
        <v>27459.451543221174</v>
      </c>
      <c r="AO8" s="22">
        <f t="shared" si="0"/>
        <v>31737.971308873934</v>
      </c>
      <c r="AP8" s="22">
        <f t="shared" si="0"/>
        <v>37595.869467141201</v>
      </c>
      <c r="AQ8" s="22">
        <f t="shared" si="0"/>
        <v>46105.612589905933</v>
      </c>
      <c r="AR8" s="22">
        <f t="shared" si="0"/>
        <v>59594.755661501782</v>
      </c>
      <c r="AS8" s="22">
        <f t="shared" si="0"/>
        <v>84241.266988655465</v>
      </c>
      <c r="AT8" s="22">
        <f t="shared" si="0"/>
        <v>143650.64163953255</v>
      </c>
      <c r="AU8" s="22">
        <f t="shared" si="0"/>
        <v>487329.43469785526</v>
      </c>
      <c r="AV8" s="22">
        <f t="shared" si="0"/>
        <v>-349976.66822211933</v>
      </c>
      <c r="AW8" s="22">
        <f t="shared" si="0"/>
        <v>-128755.36480686702</v>
      </c>
      <c r="AX8" s="22">
        <f t="shared" si="0"/>
        <v>-78889.239507731196</v>
      </c>
      <c r="AY8" s="22">
        <f t="shared" si="0"/>
        <v>-56865.569793009345</v>
      </c>
      <c r="AZ8" s="22">
        <f t="shared" si="0"/>
        <v>-44454.981921640705</v>
      </c>
    </row>
    <row r="9" spans="2:52">
      <c r="F9" s="23">
        <v>45000</v>
      </c>
      <c r="G9" s="21">
        <f t="shared" si="1"/>
        <v>5.2386987748204472</v>
      </c>
      <c r="H9" s="21">
        <f t="shared" si="1"/>
        <v>6.7475405878447718</v>
      </c>
      <c r="I9" s="21">
        <f t="shared" si="1"/>
        <v>8.2563824008690947</v>
      </c>
      <c r="J9" s="21">
        <f t="shared" si="1"/>
        <v>9.7652242138934167</v>
      </c>
      <c r="K9" s="21">
        <f t="shared" si="1"/>
        <v>11.274066026917739</v>
      </c>
      <c r="L9" s="21">
        <f t="shared" si="1"/>
        <v>12.782907839942062</v>
      </c>
      <c r="M9" s="21">
        <f t="shared" si="1"/>
        <v>14.291749652966384</v>
      </c>
      <c r="N9" s="21">
        <f t="shared" si="1"/>
        <v>15.800591465990708</v>
      </c>
      <c r="O9" s="21">
        <f t="shared" si="1"/>
        <v>17.309433279015032</v>
      </c>
      <c r="P9" s="21">
        <f t="shared" si="1"/>
        <v>18.81827509203935</v>
      </c>
      <c r="Q9" s="21">
        <f t="shared" si="1"/>
        <v>20.327116905063676</v>
      </c>
      <c r="R9" s="21">
        <f t="shared" si="1"/>
        <v>21.835958718087998</v>
      </c>
      <c r="S9" s="21">
        <f t="shared" si="1"/>
        <v>23.34480053111232</v>
      </c>
      <c r="T9" s="21">
        <f t="shared" si="1"/>
        <v>24.853642344136645</v>
      </c>
      <c r="U9" s="21">
        <f t="shared" si="1"/>
        <v>26.362484157160964</v>
      </c>
      <c r="V9" s="21">
        <f t="shared" si="1"/>
        <v>27.871325970185286</v>
      </c>
      <c r="W9" s="21">
        <f t="shared" si="4"/>
        <v>29.380167783209611</v>
      </c>
      <c r="Y9" s="23">
        <v>45000</v>
      </c>
      <c r="Z9" s="21">
        <f t="shared" si="3"/>
        <v>15.83659999999999</v>
      </c>
      <c r="AA9" s="21">
        <f t="shared" si="3"/>
        <v>22.464199999999998</v>
      </c>
      <c r="AB9" s="21">
        <f t="shared" si="3"/>
        <v>29.091799999999992</v>
      </c>
      <c r="AC9" s="21">
        <f t="shared" si="3"/>
        <v>35.719399999999993</v>
      </c>
      <c r="AD9" s="21">
        <f t="shared" si="3"/>
        <v>42.346999999999994</v>
      </c>
      <c r="AE9" s="21">
        <f t="shared" si="3"/>
        <v>48.974599999999995</v>
      </c>
      <c r="AF9" s="21">
        <f t="shared" si="3"/>
        <v>55.602199999999996</v>
      </c>
      <c r="AG9" s="21">
        <f t="shared" si="3"/>
        <v>62.229799999999997</v>
      </c>
      <c r="AH9" s="21">
        <f t="shared" si="3"/>
        <v>68.857399999999984</v>
      </c>
      <c r="AI9" s="21">
        <f t="shared" si="3"/>
        <v>75.484999999999999</v>
      </c>
      <c r="AJ9" s="21">
        <f t="shared" si="3"/>
        <v>82.112599999999986</v>
      </c>
      <c r="AK9" s="21">
        <f t="shared" si="3"/>
        <v>88.740199999999987</v>
      </c>
      <c r="AM9">
        <v>40</v>
      </c>
      <c r="AN9" s="22">
        <f t="shared" si="0"/>
        <v>22882.876286017643</v>
      </c>
      <c r="AO9" s="22">
        <f t="shared" si="0"/>
        <v>26448.309424061612</v>
      </c>
      <c r="AP9" s="22">
        <f t="shared" si="0"/>
        <v>31329.891222617669</v>
      </c>
      <c r="AQ9" s="22">
        <f t="shared" si="0"/>
        <v>38421.343824921612</v>
      </c>
      <c r="AR9" s="22">
        <f t="shared" si="0"/>
        <v>49662.296384584813</v>
      </c>
      <c r="AS9" s="22">
        <f t="shared" si="0"/>
        <v>70201.055823879549</v>
      </c>
      <c r="AT9" s="22">
        <f t="shared" si="0"/>
        <v>119708.86803294381</v>
      </c>
      <c r="AU9" s="22">
        <f t="shared" si="0"/>
        <v>406107.86224821274</v>
      </c>
      <c r="AV9" s="22">
        <f t="shared" si="0"/>
        <v>-291647.22351843282</v>
      </c>
      <c r="AW9" s="22">
        <f t="shared" si="0"/>
        <v>-107296.13733905586</v>
      </c>
      <c r="AX9" s="22">
        <f t="shared" si="0"/>
        <v>-65741.032923109335</v>
      </c>
      <c r="AY9" s="22">
        <f t="shared" si="0"/>
        <v>-47387.974827507787</v>
      </c>
      <c r="AZ9" s="22">
        <f t="shared" si="0"/>
        <v>-37045.818268033923</v>
      </c>
    </row>
    <row r="10" spans="2:52">
      <c r="F10" s="23">
        <v>44000</v>
      </c>
      <c r="G10" s="21">
        <f t="shared" si="1"/>
        <v>4.8614883215643685</v>
      </c>
      <c r="H10" s="21">
        <f t="shared" si="1"/>
        <v>6.4046219939756064</v>
      </c>
      <c r="I10" s="21">
        <f t="shared" si="1"/>
        <v>7.9477556663868469</v>
      </c>
      <c r="J10" s="21">
        <f t="shared" si="1"/>
        <v>9.4908893387980857</v>
      </c>
      <c r="K10" s="21">
        <f t="shared" si="1"/>
        <v>11.034023011209324</v>
      </c>
      <c r="L10" s="21">
        <f t="shared" si="1"/>
        <v>12.577156683620565</v>
      </c>
      <c r="M10" s="21">
        <f t="shared" si="1"/>
        <v>14.1202903560318</v>
      </c>
      <c r="N10" s="21">
        <f t="shared" si="1"/>
        <v>15.663424028443039</v>
      </c>
      <c r="O10" s="21">
        <f t="shared" si="1"/>
        <v>17.206557700854283</v>
      </c>
      <c r="P10" s="21">
        <f t="shared" si="1"/>
        <v>18.74969137326552</v>
      </c>
      <c r="Q10" s="21">
        <f t="shared" si="1"/>
        <v>20.292825045676761</v>
      </c>
      <c r="R10" s="21">
        <f t="shared" si="1"/>
        <v>21.835958718087998</v>
      </c>
      <c r="S10" s="21">
        <f t="shared" si="1"/>
        <v>23.379092390499235</v>
      </c>
      <c r="T10" s="21">
        <f t="shared" si="1"/>
        <v>24.922226062910475</v>
      </c>
      <c r="U10" s="21">
        <f t="shared" si="1"/>
        <v>26.465359735321716</v>
      </c>
      <c r="V10" s="21">
        <f t="shared" si="1"/>
        <v>28.008493407732956</v>
      </c>
      <c r="W10" s="21">
        <f t="shared" si="4"/>
        <v>29.551627080144197</v>
      </c>
      <c r="Y10" s="23">
        <v>44000</v>
      </c>
      <c r="Z10" s="21">
        <f t="shared" si="3"/>
        <v>16.929119999999998</v>
      </c>
      <c r="AA10" s="21">
        <f t="shared" si="3"/>
        <v>23.409439999999996</v>
      </c>
      <c r="AB10" s="21">
        <f t="shared" si="3"/>
        <v>29.889759999999995</v>
      </c>
      <c r="AC10" s="21">
        <f t="shared" si="3"/>
        <v>36.370079999999994</v>
      </c>
      <c r="AD10" s="21">
        <f t="shared" si="3"/>
        <v>42.850399999999993</v>
      </c>
      <c r="AE10" s="21">
        <f t="shared" si="3"/>
        <v>49.330719999999992</v>
      </c>
      <c r="AF10" s="21">
        <f t="shared" si="3"/>
        <v>55.811039999999991</v>
      </c>
      <c r="AG10" s="21">
        <f t="shared" si="3"/>
        <v>62.291359999999997</v>
      </c>
      <c r="AH10" s="21">
        <f t="shared" si="3"/>
        <v>68.771679999999989</v>
      </c>
      <c r="AI10" s="21">
        <f t="shared" si="3"/>
        <v>75.251999999999995</v>
      </c>
      <c r="AJ10" s="21">
        <f t="shared" si="3"/>
        <v>81.732319999999987</v>
      </c>
      <c r="AK10" s="21">
        <f t="shared" si="3"/>
        <v>88.212639999999993</v>
      </c>
      <c r="AM10">
        <v>45</v>
      </c>
      <c r="AN10" s="22">
        <f t="shared" si="0"/>
        <v>18306.301028814116</v>
      </c>
      <c r="AO10" s="22">
        <f t="shared" si="0"/>
        <v>21158.64753924929</v>
      </c>
      <c r="AP10" s="22">
        <f t="shared" si="0"/>
        <v>25063.912978094137</v>
      </c>
      <c r="AQ10" s="22">
        <f t="shared" si="0"/>
        <v>30737.075059937288</v>
      </c>
      <c r="AR10" s="22">
        <f t="shared" si="0"/>
        <v>39729.837107667852</v>
      </c>
      <c r="AS10" s="22">
        <f t="shared" si="0"/>
        <v>56160.844659103641</v>
      </c>
      <c r="AT10" s="22">
        <f t="shared" si="0"/>
        <v>95767.094426355048</v>
      </c>
      <c r="AU10" s="22">
        <f t="shared" si="0"/>
        <v>324886.28979857021</v>
      </c>
      <c r="AV10" s="22">
        <f t="shared" si="0"/>
        <v>-233317.77881474624</v>
      </c>
      <c r="AW10" s="22">
        <f t="shared" si="0"/>
        <v>-85836.909871244687</v>
      </c>
      <c r="AX10" s="22">
        <f t="shared" si="0"/>
        <v>-52592.826338487466</v>
      </c>
      <c r="AY10" s="22">
        <f t="shared" si="0"/>
        <v>-37910.37986200623</v>
      </c>
      <c r="AZ10" s="22">
        <f t="shared" si="0"/>
        <v>-29636.654614427138</v>
      </c>
    </row>
    <row r="11" spans="2:52">
      <c r="B11" t="s">
        <v>84</v>
      </c>
      <c r="C11">
        <v>29.494839760999465</v>
      </c>
      <c r="F11" s="23">
        <v>43000</v>
      </c>
      <c r="G11" s="21">
        <f t="shared" si="1"/>
        <v>4.4667331960638181</v>
      </c>
      <c r="H11" s="21">
        <f t="shared" si="1"/>
        <v>6.045753698066016</v>
      </c>
      <c r="I11" s="21">
        <f t="shared" si="1"/>
        <v>7.6247742000682139</v>
      </c>
      <c r="J11" s="21">
        <f t="shared" si="1"/>
        <v>9.2037947020704145</v>
      </c>
      <c r="K11" s="21">
        <f t="shared" si="1"/>
        <v>10.782815204072612</v>
      </c>
      <c r="L11" s="21">
        <f t="shared" si="1"/>
        <v>12.361835706074809</v>
      </c>
      <c r="M11" s="21">
        <f t="shared" si="1"/>
        <v>13.940856208077006</v>
      </c>
      <c r="N11" s="21">
        <f t="shared" si="1"/>
        <v>15.519876710079206</v>
      </c>
      <c r="O11" s="21">
        <f t="shared" si="1"/>
        <v>17.098897212081404</v>
      </c>
      <c r="P11" s="21">
        <f t="shared" si="1"/>
        <v>18.677917714083602</v>
      </c>
      <c r="Q11" s="21">
        <f t="shared" si="1"/>
        <v>20.2569382160858</v>
      </c>
      <c r="R11" s="21">
        <f t="shared" si="1"/>
        <v>21.835958718087998</v>
      </c>
      <c r="S11" s="21">
        <f t="shared" si="1"/>
        <v>23.414979220090196</v>
      </c>
      <c r="T11" s="21">
        <f t="shared" si="1"/>
        <v>24.993999722092394</v>
      </c>
      <c r="U11" s="21">
        <f t="shared" si="1"/>
        <v>26.573020224094591</v>
      </c>
      <c r="V11" s="21">
        <f t="shared" si="1"/>
        <v>28.152040726096789</v>
      </c>
      <c r="W11" s="21">
        <f t="shared" si="4"/>
        <v>29.731061228098991</v>
      </c>
      <c r="Y11" s="23">
        <v>43000</v>
      </c>
      <c r="Z11" s="21">
        <f t="shared" si="3"/>
        <v>18.021639999999991</v>
      </c>
      <c r="AA11" s="21">
        <f t="shared" si="3"/>
        <v>24.354679999999995</v>
      </c>
      <c r="AB11" s="21">
        <f t="shared" si="3"/>
        <v>30.687719999999992</v>
      </c>
      <c r="AC11" s="21">
        <f t="shared" si="3"/>
        <v>37.020759999999996</v>
      </c>
      <c r="AD11" s="21">
        <f t="shared" si="3"/>
        <v>43.353799999999993</v>
      </c>
      <c r="AE11" s="21">
        <f t="shared" si="3"/>
        <v>49.686839999999989</v>
      </c>
      <c r="AF11" s="21">
        <f t="shared" si="3"/>
        <v>56.019879999999993</v>
      </c>
      <c r="AG11" s="21">
        <f t="shared" si="3"/>
        <v>62.352919999999997</v>
      </c>
      <c r="AH11" s="21">
        <f t="shared" si="3"/>
        <v>68.685959999999994</v>
      </c>
      <c r="AI11" s="21">
        <f t="shared" si="3"/>
        <v>75.018999999999991</v>
      </c>
      <c r="AJ11" s="21">
        <f t="shared" si="3"/>
        <v>81.352039999999988</v>
      </c>
      <c r="AK11" s="21">
        <f t="shared" si="3"/>
        <v>87.685079999999999</v>
      </c>
      <c r="AM11">
        <v>50</v>
      </c>
      <c r="AN11" s="22">
        <f t="shared" si="0"/>
        <v>13729.725771610587</v>
      </c>
      <c r="AO11" s="22">
        <f t="shared" si="0"/>
        <v>15868.985654436967</v>
      </c>
      <c r="AP11" s="22">
        <f t="shared" si="0"/>
        <v>18797.934733570601</v>
      </c>
      <c r="AQ11" s="22">
        <f t="shared" si="0"/>
        <v>23052.806294952967</v>
      </c>
      <c r="AR11" s="22">
        <f t="shared" si="0"/>
        <v>29797.377830750891</v>
      </c>
      <c r="AS11" s="22">
        <f t="shared" si="0"/>
        <v>42120.633494327732</v>
      </c>
      <c r="AT11" s="22">
        <f t="shared" si="0"/>
        <v>71825.320819766275</v>
      </c>
      <c r="AU11" s="22">
        <f t="shared" si="0"/>
        <v>243664.71734892763</v>
      </c>
      <c r="AV11" s="22">
        <f t="shared" si="0"/>
        <v>-174988.33411105967</v>
      </c>
      <c r="AW11" s="22">
        <f t="shared" si="0"/>
        <v>-64377.682403433508</v>
      </c>
      <c r="AX11" s="22">
        <f t="shared" si="0"/>
        <v>-39444.619753865598</v>
      </c>
      <c r="AY11" s="22">
        <f t="shared" si="0"/>
        <v>-28432.784896504672</v>
      </c>
      <c r="AZ11" s="22">
        <f t="shared" si="0"/>
        <v>-22227.490960820352</v>
      </c>
    </row>
    <row r="12" spans="2:52">
      <c r="B12" t="s">
        <v>61</v>
      </c>
      <c r="C12">
        <f>((C11*3.682)/100)+15.896</f>
        <v>16.981999999999999</v>
      </c>
      <c r="F12" s="23">
        <v>42000</v>
      </c>
      <c r="G12" s="21">
        <f t="shared" si="1"/>
        <v>4.0531802074441954</v>
      </c>
      <c r="H12" s="21">
        <f t="shared" si="1"/>
        <v>5.6697964356845407</v>
      </c>
      <c r="I12" s="21">
        <f t="shared" si="1"/>
        <v>7.2864126639248878</v>
      </c>
      <c r="J12" s="21">
        <f t="shared" si="1"/>
        <v>8.9030288921652332</v>
      </c>
      <c r="K12" s="21">
        <f t="shared" si="1"/>
        <v>10.519645120405578</v>
      </c>
      <c r="L12" s="21">
        <f t="shared" si="1"/>
        <v>12.136261348645924</v>
      </c>
      <c r="M12" s="21">
        <f t="shared" si="1"/>
        <v>13.752877576886268</v>
      </c>
      <c r="N12" s="21">
        <f t="shared" si="1"/>
        <v>15.369493805126613</v>
      </c>
      <c r="O12" s="21">
        <f t="shared" si="1"/>
        <v>16.986110033366959</v>
      </c>
      <c r="P12" s="21">
        <f t="shared" si="1"/>
        <v>18.602726261607305</v>
      </c>
      <c r="Q12" s="21">
        <f t="shared" si="1"/>
        <v>20.219342489847651</v>
      </c>
      <c r="R12" s="21">
        <f t="shared" si="1"/>
        <v>21.835958718087998</v>
      </c>
      <c r="S12" s="21">
        <f t="shared" si="1"/>
        <v>23.452574946328344</v>
      </c>
      <c r="T12" s="21">
        <f t="shared" si="1"/>
        <v>25.06919117456869</v>
      </c>
      <c r="U12" s="21">
        <f t="shared" si="1"/>
        <v>26.685807402809036</v>
      </c>
      <c r="V12" s="21">
        <f t="shared" si="1"/>
        <v>28.302423631049379</v>
      </c>
      <c r="W12" s="21">
        <f t="shared" si="4"/>
        <v>29.919039859289725</v>
      </c>
      <c r="Y12" s="23">
        <v>42000</v>
      </c>
      <c r="Z12" s="21">
        <f t="shared" si="3"/>
        <v>19.114159999999998</v>
      </c>
      <c r="AA12" s="21">
        <f t="shared" si="3"/>
        <v>25.29992</v>
      </c>
      <c r="AB12" s="21">
        <f t="shared" si="3"/>
        <v>31.485679999999995</v>
      </c>
      <c r="AC12" s="21">
        <f t="shared" si="3"/>
        <v>37.67143999999999</v>
      </c>
      <c r="AD12" s="21">
        <f t="shared" si="3"/>
        <v>43.857199999999999</v>
      </c>
      <c r="AE12" s="21">
        <f t="shared" si="3"/>
        <v>50.042959999999994</v>
      </c>
      <c r="AF12" s="21">
        <f t="shared" si="3"/>
        <v>56.228719999999996</v>
      </c>
      <c r="AG12" s="21">
        <f t="shared" si="3"/>
        <v>62.414479999999998</v>
      </c>
      <c r="AH12" s="21">
        <f t="shared" si="3"/>
        <v>68.600239999999985</v>
      </c>
      <c r="AI12" s="21">
        <f t="shared" si="3"/>
        <v>74.786000000000001</v>
      </c>
      <c r="AJ12" s="21">
        <f t="shared" si="3"/>
        <v>80.971759999999989</v>
      </c>
      <c r="AK12" s="21">
        <f t="shared" si="3"/>
        <v>87.157519999999991</v>
      </c>
      <c r="AM12">
        <v>55</v>
      </c>
      <c r="AN12" s="22">
        <f t="shared" ref="AN12:AZ21" si="5">(($AM12-65)*500)/((0.03682*AN$24)-0.804)</f>
        <v>9153.1505144070579</v>
      </c>
      <c r="AO12" s="22">
        <f t="shared" si="5"/>
        <v>10579.323769624645</v>
      </c>
      <c r="AP12" s="22">
        <f t="shared" si="5"/>
        <v>12531.956489047068</v>
      </c>
      <c r="AQ12" s="22">
        <f t="shared" si="5"/>
        <v>15368.537529968644</v>
      </c>
      <c r="AR12" s="22">
        <f t="shared" si="5"/>
        <v>19864.918553833926</v>
      </c>
      <c r="AS12" s="22">
        <f t="shared" si="5"/>
        <v>28080.42232955182</v>
      </c>
      <c r="AT12" s="22">
        <f t="shared" si="5"/>
        <v>47883.547213177524</v>
      </c>
      <c r="AU12" s="22">
        <f t="shared" si="5"/>
        <v>162443.14489928511</v>
      </c>
      <c r="AV12" s="22">
        <f t="shared" si="5"/>
        <v>-116658.88940737312</v>
      </c>
      <c r="AW12" s="22">
        <f t="shared" si="5"/>
        <v>-42918.454935622343</v>
      </c>
      <c r="AX12" s="22">
        <f t="shared" si="5"/>
        <v>-26296.413169243733</v>
      </c>
      <c r="AY12" s="22">
        <f t="shared" si="5"/>
        <v>-18955.189931003115</v>
      </c>
      <c r="AZ12" s="22">
        <f t="shared" si="5"/>
        <v>-14818.327307213569</v>
      </c>
    </row>
    <row r="13" spans="2:52">
      <c r="F13" s="23">
        <v>41000</v>
      </c>
      <c r="G13" s="21">
        <f t="shared" si="1"/>
        <v>3.6194539023065411</v>
      </c>
      <c r="H13" s="21">
        <f t="shared" si="1"/>
        <v>5.2754997946503108</v>
      </c>
      <c r="I13" s="21">
        <f t="shared" si="1"/>
        <v>6.9315456869940784</v>
      </c>
      <c r="J13" s="21">
        <f t="shared" si="1"/>
        <v>8.5875915793378486</v>
      </c>
      <c r="K13" s="21">
        <f t="shared" si="1"/>
        <v>10.243637471681618</v>
      </c>
      <c r="L13" s="21">
        <f t="shared" si="1"/>
        <v>11.899683364025385</v>
      </c>
      <c r="M13" s="21">
        <f t="shared" si="1"/>
        <v>13.555729256369155</v>
      </c>
      <c r="N13" s="21">
        <f t="shared" si="1"/>
        <v>15.211775148712922</v>
      </c>
      <c r="O13" s="21">
        <f t="shared" si="1"/>
        <v>16.867821041056693</v>
      </c>
      <c r="P13" s="21">
        <f t="shared" si="1"/>
        <v>18.523866933400459</v>
      </c>
      <c r="Q13" s="21">
        <f t="shared" si="1"/>
        <v>20.179912825744225</v>
      </c>
      <c r="R13" s="21">
        <f t="shared" si="1"/>
        <v>21.835958718087998</v>
      </c>
      <c r="S13" s="21">
        <f t="shared" si="1"/>
        <v>23.492004610431771</v>
      </c>
      <c r="T13" s="21">
        <f t="shared" si="1"/>
        <v>25.148050502775533</v>
      </c>
      <c r="U13" s="21">
        <f t="shared" si="1"/>
        <v>26.804096395119302</v>
      </c>
      <c r="V13" s="21">
        <f t="shared" si="1"/>
        <v>28.460142287463071</v>
      </c>
      <c r="W13" s="21">
        <f t="shared" si="4"/>
        <v>30.116188179806844</v>
      </c>
      <c r="Y13" s="23">
        <v>41000</v>
      </c>
      <c r="Z13" s="21">
        <f t="shared" si="3"/>
        <v>20.206679999999992</v>
      </c>
      <c r="AA13" s="21">
        <f t="shared" si="3"/>
        <v>26.245159999999998</v>
      </c>
      <c r="AB13" s="21">
        <f t="shared" si="3"/>
        <v>32.283639999999998</v>
      </c>
      <c r="AC13" s="21">
        <f t="shared" si="3"/>
        <v>38.322119999999998</v>
      </c>
      <c r="AD13" s="21">
        <f t="shared" si="3"/>
        <v>44.360599999999998</v>
      </c>
      <c r="AE13" s="21">
        <f t="shared" si="3"/>
        <v>50.399079999999991</v>
      </c>
      <c r="AF13" s="21">
        <f t="shared" si="3"/>
        <v>56.437559999999991</v>
      </c>
      <c r="AG13" s="21">
        <f t="shared" si="3"/>
        <v>62.476039999999998</v>
      </c>
      <c r="AH13" s="21">
        <f t="shared" si="3"/>
        <v>68.51451999999999</v>
      </c>
      <c r="AI13" s="21">
        <f t="shared" si="3"/>
        <v>74.552999999999997</v>
      </c>
      <c r="AJ13" s="21">
        <f t="shared" si="3"/>
        <v>80.59147999999999</v>
      </c>
      <c r="AK13" s="21">
        <f t="shared" si="3"/>
        <v>86.629959999999997</v>
      </c>
      <c r="AM13">
        <v>60</v>
      </c>
      <c r="AN13" s="22">
        <f t="shared" si="5"/>
        <v>4576.575257203529</v>
      </c>
      <c r="AO13" s="22">
        <f t="shared" si="5"/>
        <v>5289.6618848123226</v>
      </c>
      <c r="AP13" s="22">
        <f t="shared" si="5"/>
        <v>6265.9782445235342</v>
      </c>
      <c r="AQ13" s="22">
        <f t="shared" si="5"/>
        <v>7684.2687649843219</v>
      </c>
      <c r="AR13" s="22">
        <f t="shared" si="5"/>
        <v>9932.4592769169631</v>
      </c>
      <c r="AS13" s="22">
        <f t="shared" si="5"/>
        <v>14040.21116477591</v>
      </c>
      <c r="AT13" s="22">
        <f t="shared" si="5"/>
        <v>23941.773606588762</v>
      </c>
      <c r="AU13" s="22">
        <f t="shared" si="5"/>
        <v>81221.572449642554</v>
      </c>
      <c r="AV13" s="22">
        <f t="shared" si="5"/>
        <v>-58329.44470368656</v>
      </c>
      <c r="AW13" s="22">
        <f t="shared" si="5"/>
        <v>-21459.227467811172</v>
      </c>
      <c r="AX13" s="22">
        <f t="shared" si="5"/>
        <v>-13148.206584621867</v>
      </c>
      <c r="AY13" s="22">
        <f t="shared" si="5"/>
        <v>-9477.5949655015575</v>
      </c>
      <c r="AZ13" s="22">
        <f t="shared" si="5"/>
        <v>-7409.1636536067845</v>
      </c>
    </row>
    <row r="14" spans="2:52">
      <c r="B14" t="s">
        <v>83</v>
      </c>
      <c r="C14">
        <v>28207</v>
      </c>
      <c r="F14" s="23">
        <v>40000</v>
      </c>
      <c r="G14" s="21">
        <f t="shared" si="1"/>
        <v>3.1640412819120058</v>
      </c>
      <c r="H14" s="21">
        <f t="shared" si="1"/>
        <v>4.8614883215643685</v>
      </c>
      <c r="I14" s="21">
        <f t="shared" si="1"/>
        <v>6.558935361216732</v>
      </c>
      <c r="J14" s="21">
        <f t="shared" si="1"/>
        <v>8.2563824008690947</v>
      </c>
      <c r="K14" s="21">
        <f t="shared" si="1"/>
        <v>9.9538294405214582</v>
      </c>
      <c r="L14" s="21">
        <f t="shared" si="1"/>
        <v>11.65127648017382</v>
      </c>
      <c r="M14" s="21">
        <f t="shared" si="1"/>
        <v>13.348723519826184</v>
      </c>
      <c r="N14" s="21">
        <f t="shared" si="1"/>
        <v>15.046170559478545</v>
      </c>
      <c r="O14" s="21">
        <f t="shared" si="1"/>
        <v>16.743617599130911</v>
      </c>
      <c r="P14" s="21">
        <f>((((500*P$30 -32500)/$F14)+0.804)*100)/3.682</f>
        <v>18.441064638783271</v>
      </c>
      <c r="Q14" s="21">
        <f t="shared" si="1"/>
        <v>20.138511678435634</v>
      </c>
      <c r="R14" s="21">
        <f t="shared" si="1"/>
        <v>21.835958718087998</v>
      </c>
      <c r="S14" s="21">
        <f t="shared" si="1"/>
        <v>23.533405757740361</v>
      </c>
      <c r="T14" s="21">
        <f t="shared" si="1"/>
        <v>25.230852797392725</v>
      </c>
      <c r="U14" s="21">
        <f t="shared" si="1"/>
        <v>26.928299837045085</v>
      </c>
      <c r="V14" s="21">
        <f t="shared" si="1"/>
        <v>28.625746876697448</v>
      </c>
      <c r="W14" s="21">
        <f t="shared" si="4"/>
        <v>30.323193916349812</v>
      </c>
      <c r="Y14" s="23">
        <v>40000</v>
      </c>
      <c r="Z14" s="21">
        <f t="shared" si="3"/>
        <v>21.299199999999999</v>
      </c>
      <c r="AA14" s="21">
        <f t="shared" si="3"/>
        <v>27.190399999999997</v>
      </c>
      <c r="AB14" s="21">
        <f t="shared" si="3"/>
        <v>33.081599999999995</v>
      </c>
      <c r="AC14" s="21">
        <f t="shared" si="3"/>
        <v>38.972799999999992</v>
      </c>
      <c r="AD14" s="21">
        <f t="shared" si="3"/>
        <v>44.863999999999997</v>
      </c>
      <c r="AE14" s="21">
        <f t="shared" si="3"/>
        <v>50.755199999999988</v>
      </c>
      <c r="AF14" s="21">
        <f t="shared" si="3"/>
        <v>56.646399999999993</v>
      </c>
      <c r="AG14" s="21">
        <f t="shared" si="3"/>
        <v>62.537599999999998</v>
      </c>
      <c r="AH14" s="21">
        <f t="shared" si="3"/>
        <v>68.428799999999995</v>
      </c>
      <c r="AI14" s="21">
        <f t="shared" si="3"/>
        <v>74.319999999999993</v>
      </c>
      <c r="AJ14" s="21">
        <f t="shared" si="3"/>
        <v>80.211199999999991</v>
      </c>
      <c r="AK14" s="21">
        <f t="shared" si="3"/>
        <v>86.102399999999989</v>
      </c>
      <c r="AM14">
        <v>65</v>
      </c>
      <c r="AN14" s="22">
        <f t="shared" si="5"/>
        <v>0</v>
      </c>
      <c r="AO14" s="22">
        <f t="shared" si="5"/>
        <v>0</v>
      </c>
      <c r="AP14" s="22">
        <f t="shared" si="5"/>
        <v>0</v>
      </c>
      <c r="AQ14" s="22">
        <f t="shared" si="5"/>
        <v>0</v>
      </c>
      <c r="AR14" s="22">
        <f t="shared" si="5"/>
        <v>0</v>
      </c>
      <c r="AS14" s="22">
        <f t="shared" si="5"/>
        <v>0</v>
      </c>
      <c r="AT14" s="22">
        <f t="shared" si="5"/>
        <v>0</v>
      </c>
      <c r="AU14" s="22">
        <f t="shared" si="5"/>
        <v>0</v>
      </c>
      <c r="AV14" s="22">
        <f t="shared" si="5"/>
        <v>0</v>
      </c>
      <c r="AW14" s="22">
        <f t="shared" si="5"/>
        <v>0</v>
      </c>
      <c r="AX14" s="22">
        <f t="shared" si="5"/>
        <v>0</v>
      </c>
      <c r="AY14" s="22">
        <f t="shared" si="5"/>
        <v>0</v>
      </c>
      <c r="AZ14" s="22">
        <f t="shared" si="5"/>
        <v>0</v>
      </c>
    </row>
    <row r="15" spans="2:52">
      <c r="B15" t="s">
        <v>16</v>
      </c>
      <c r="C15">
        <f>((C14*(0.03682*C11-0.804))/500)+65</f>
        <v>80.908748000000017</v>
      </c>
      <c r="F15" s="23">
        <v>39000</v>
      </c>
      <c r="G15" s="21">
        <f t="shared" si="1"/>
        <v>2.6852741681639021</v>
      </c>
      <c r="H15" s="21">
        <f t="shared" si="1"/>
        <v>4.4262454908842743</v>
      </c>
      <c r="I15" s="21">
        <f t="shared" si="1"/>
        <v>6.1672168136046492</v>
      </c>
      <c r="J15" s="21">
        <f t="shared" si="1"/>
        <v>7.9081881363250215</v>
      </c>
      <c r="K15" s="21">
        <f t="shared" si="1"/>
        <v>9.6491594590453911</v>
      </c>
      <c r="L15" s="21">
        <f t="shared" si="1"/>
        <v>11.390130781765762</v>
      </c>
      <c r="M15" s="21">
        <f t="shared" si="1"/>
        <v>13.131102104486136</v>
      </c>
      <c r="N15" s="21">
        <f t="shared" si="1"/>
        <v>14.872073427206509</v>
      </c>
      <c r="O15" s="21">
        <f t="shared" si="1"/>
        <v>16.613044749926882</v>
      </c>
      <c r="P15" s="21">
        <f t="shared" si="1"/>
        <v>18.354016072647255</v>
      </c>
      <c r="Q15" s="21">
        <f t="shared" si="1"/>
        <v>20.094987395367625</v>
      </c>
      <c r="R15" s="21">
        <f t="shared" si="1"/>
        <v>21.835958718087998</v>
      </c>
      <c r="S15" s="21">
        <f t="shared" si="1"/>
        <v>23.576930040808371</v>
      </c>
      <c r="T15" s="21">
        <f t="shared" si="1"/>
        <v>25.31790136352874</v>
      </c>
      <c r="U15" s="21">
        <f t="shared" si="1"/>
        <v>27.058872686249114</v>
      </c>
      <c r="V15" s="21">
        <f t="shared" si="1"/>
        <v>28.799844008969483</v>
      </c>
      <c r="W15" s="21">
        <f t="shared" si="4"/>
        <v>30.540815331689856</v>
      </c>
      <c r="Y15" s="23">
        <v>39000</v>
      </c>
      <c r="Z15" s="21">
        <f t="shared" si="3"/>
        <v>22.391719999999992</v>
      </c>
      <c r="AA15" s="21">
        <f t="shared" si="3"/>
        <v>28.135640000000002</v>
      </c>
      <c r="AB15" s="21">
        <f t="shared" si="3"/>
        <v>33.879559999999998</v>
      </c>
      <c r="AC15" s="21">
        <f t="shared" si="3"/>
        <v>39.623480000000001</v>
      </c>
      <c r="AD15" s="21">
        <f t="shared" si="3"/>
        <v>45.367399999999996</v>
      </c>
      <c r="AE15" s="21">
        <f t="shared" si="3"/>
        <v>51.111319999999992</v>
      </c>
      <c r="AF15" s="21">
        <f t="shared" si="3"/>
        <v>56.855239999999995</v>
      </c>
      <c r="AG15" s="21">
        <f t="shared" si="3"/>
        <v>62.599159999999998</v>
      </c>
      <c r="AH15" s="21">
        <f t="shared" si="3"/>
        <v>68.343079999999986</v>
      </c>
      <c r="AI15" s="21">
        <f t="shared" si="3"/>
        <v>74.086999999999989</v>
      </c>
      <c r="AJ15" s="21">
        <f t="shared" si="3"/>
        <v>79.830919999999992</v>
      </c>
      <c r="AK15" s="21">
        <f t="shared" si="3"/>
        <v>85.574839999999995</v>
      </c>
      <c r="AM15">
        <v>70</v>
      </c>
      <c r="AN15" s="22">
        <f t="shared" si="5"/>
        <v>-4576.575257203529</v>
      </c>
      <c r="AO15" s="22">
        <f t="shared" si="5"/>
        <v>-5289.6618848123226</v>
      </c>
      <c r="AP15" s="22">
        <f t="shared" si="5"/>
        <v>-6265.9782445235342</v>
      </c>
      <c r="AQ15" s="22">
        <f t="shared" si="5"/>
        <v>-7684.2687649843219</v>
      </c>
      <c r="AR15" s="22">
        <f t="shared" si="5"/>
        <v>-9932.4592769169631</v>
      </c>
      <c r="AS15" s="22">
        <f t="shared" si="5"/>
        <v>-14040.21116477591</v>
      </c>
      <c r="AT15" s="22">
        <f t="shared" si="5"/>
        <v>-23941.773606588762</v>
      </c>
      <c r="AU15" s="22">
        <f t="shared" si="5"/>
        <v>-81221.572449642554</v>
      </c>
      <c r="AV15" s="22">
        <f t="shared" si="5"/>
        <v>58329.44470368656</v>
      </c>
      <c r="AW15" s="22">
        <f t="shared" si="5"/>
        <v>21459.227467811172</v>
      </c>
      <c r="AX15" s="22">
        <f t="shared" si="5"/>
        <v>13148.206584621867</v>
      </c>
      <c r="AY15" s="22">
        <f t="shared" si="5"/>
        <v>9477.5949655015575</v>
      </c>
      <c r="AZ15" s="22">
        <f t="shared" si="5"/>
        <v>7409.1636536067845</v>
      </c>
    </row>
    <row r="16" spans="2:52">
      <c r="F16" s="23">
        <v>38000</v>
      </c>
      <c r="G16" s="21">
        <f t="shared" si="1"/>
        <v>2.1813087852711632</v>
      </c>
      <c r="H16" s="21">
        <f t="shared" si="1"/>
        <v>3.968095142799966</v>
      </c>
      <c r="I16" s="21">
        <f t="shared" si="1"/>
        <v>5.7548815003287714</v>
      </c>
      <c r="J16" s="21">
        <f t="shared" si="1"/>
        <v>7.5416678578575747</v>
      </c>
      <c r="K16" s="21">
        <f t="shared" si="1"/>
        <v>9.3284542153863761</v>
      </c>
      <c r="L16" s="21">
        <f t="shared" si="1"/>
        <v>11.11524057291518</v>
      </c>
      <c r="M16" s="21">
        <f t="shared" si="1"/>
        <v>12.902026930443981</v>
      </c>
      <c r="N16" s="21">
        <f t="shared" si="1"/>
        <v>14.688813287972787</v>
      </c>
      <c r="O16" s="21">
        <f t="shared" si="1"/>
        <v>16.475599645501585</v>
      </c>
      <c r="P16" s="21">
        <f t="shared" si="1"/>
        <v>18.26238600303039</v>
      </c>
      <c r="Q16" s="21">
        <f t="shared" si="1"/>
        <v>20.049172360559194</v>
      </c>
      <c r="R16" s="21">
        <f t="shared" si="1"/>
        <v>21.835958718087998</v>
      </c>
      <c r="S16" s="21">
        <f t="shared" si="1"/>
        <v>23.622745075616802</v>
      </c>
      <c r="T16" s="21">
        <f t="shared" si="1"/>
        <v>25.409531433145602</v>
      </c>
      <c r="U16" s="21">
        <f t="shared" si="1"/>
        <v>27.19631779067441</v>
      </c>
      <c r="V16" s="21">
        <f t="shared" si="1"/>
        <v>28.983104148203207</v>
      </c>
      <c r="W16" s="21">
        <f t="shared" si="4"/>
        <v>30.769890505732011</v>
      </c>
      <c r="Y16" s="23">
        <v>38000</v>
      </c>
      <c r="Z16" s="21">
        <f t="shared" si="3"/>
        <v>23.484239999999993</v>
      </c>
      <c r="AA16" s="21">
        <f t="shared" si="3"/>
        <v>29.080880000000001</v>
      </c>
      <c r="AB16" s="21">
        <f t="shared" si="3"/>
        <v>34.677520000000001</v>
      </c>
      <c r="AC16" s="21">
        <f t="shared" si="3"/>
        <v>40.274159999999995</v>
      </c>
      <c r="AD16" s="21">
        <f t="shared" si="3"/>
        <v>45.870799999999996</v>
      </c>
      <c r="AE16" s="21">
        <f t="shared" si="3"/>
        <v>51.467439999999989</v>
      </c>
      <c r="AF16" s="21">
        <f t="shared" si="3"/>
        <v>57.064079999999997</v>
      </c>
      <c r="AG16" s="21">
        <f t="shared" si="3"/>
        <v>62.660719999999998</v>
      </c>
      <c r="AH16" s="21">
        <f t="shared" si="3"/>
        <v>68.257359999999991</v>
      </c>
      <c r="AI16" s="21">
        <f t="shared" si="3"/>
        <v>73.853999999999999</v>
      </c>
      <c r="AJ16" s="21">
        <f t="shared" si="3"/>
        <v>79.450639999999993</v>
      </c>
      <c r="AK16" s="21">
        <f t="shared" si="3"/>
        <v>85.047279999999986</v>
      </c>
      <c r="AM16">
        <v>75</v>
      </c>
      <c r="AN16" s="22">
        <f t="shared" si="5"/>
        <v>-9153.1505144070579</v>
      </c>
      <c r="AO16" s="22">
        <f t="shared" si="5"/>
        <v>-10579.323769624645</v>
      </c>
      <c r="AP16" s="22">
        <f t="shared" si="5"/>
        <v>-12531.956489047068</v>
      </c>
      <c r="AQ16" s="22">
        <f t="shared" si="5"/>
        <v>-15368.537529968644</v>
      </c>
      <c r="AR16" s="22">
        <f t="shared" si="5"/>
        <v>-19864.918553833926</v>
      </c>
      <c r="AS16" s="22">
        <f t="shared" si="5"/>
        <v>-28080.42232955182</v>
      </c>
      <c r="AT16" s="22">
        <f t="shared" si="5"/>
        <v>-47883.547213177524</v>
      </c>
      <c r="AU16" s="22">
        <f t="shared" si="5"/>
        <v>-162443.14489928511</v>
      </c>
      <c r="AV16" s="22">
        <f t="shared" si="5"/>
        <v>116658.88940737312</v>
      </c>
      <c r="AW16" s="22">
        <f t="shared" si="5"/>
        <v>42918.454935622343</v>
      </c>
      <c r="AX16" s="22">
        <f t="shared" si="5"/>
        <v>26296.413169243733</v>
      </c>
      <c r="AY16" s="22">
        <f t="shared" si="5"/>
        <v>18955.189931003115</v>
      </c>
      <c r="AZ16" s="22">
        <f t="shared" si="5"/>
        <v>14818.327307213569</v>
      </c>
    </row>
    <row r="17" spans="1:57">
      <c r="F17" s="23">
        <v>37000</v>
      </c>
      <c r="G17" s="21">
        <f t="shared" si="1"/>
        <v>1.6501020303301697</v>
      </c>
      <c r="H17" s="21">
        <f t="shared" si="1"/>
        <v>3.4851799110354262</v>
      </c>
      <c r="I17" s="21">
        <f t="shared" si="1"/>
        <v>5.3202577917406826</v>
      </c>
      <c r="J17" s="21">
        <f t="shared" si="1"/>
        <v>7.1553356724459398</v>
      </c>
      <c r="K17" s="21">
        <f t="shared" si="1"/>
        <v>8.9904135531511979</v>
      </c>
      <c r="L17" s="21">
        <f t="shared" si="1"/>
        <v>10.825491433856454</v>
      </c>
      <c r="M17" s="21">
        <f t="shared" si="1"/>
        <v>12.660569314561712</v>
      </c>
      <c r="N17" s="21">
        <f t="shared" si="1"/>
        <v>14.495647195266967</v>
      </c>
      <c r="O17" s="21">
        <f t="shared" si="1"/>
        <v>16.330725075972225</v>
      </c>
      <c r="P17" s="21">
        <f t="shared" si="1"/>
        <v>18.165802956677481</v>
      </c>
      <c r="Q17" s="21">
        <f t="shared" si="1"/>
        <v>20.000880837382741</v>
      </c>
      <c r="R17" s="21">
        <f t="shared" si="1"/>
        <v>21.835958718087998</v>
      </c>
      <c r="S17" s="21">
        <f t="shared" si="1"/>
        <v>23.671036598793254</v>
      </c>
      <c r="T17" s="21">
        <f t="shared" si="1"/>
        <v>25.50611447949851</v>
      </c>
      <c r="U17" s="21">
        <f t="shared" si="1"/>
        <v>27.341192360203767</v>
      </c>
      <c r="V17" s="21">
        <f t="shared" si="1"/>
        <v>29.176270240909027</v>
      </c>
      <c r="W17" s="21">
        <f t="shared" si="4"/>
        <v>31.011348121614287</v>
      </c>
      <c r="Y17" s="23">
        <v>37000</v>
      </c>
      <c r="Z17" s="21">
        <f t="shared" si="3"/>
        <v>24.576759999999993</v>
      </c>
      <c r="AA17" s="21">
        <f t="shared" si="3"/>
        <v>30.026119999999999</v>
      </c>
      <c r="AB17" s="21">
        <f t="shared" si="3"/>
        <v>35.475479999999997</v>
      </c>
      <c r="AC17" s="21">
        <f t="shared" si="3"/>
        <v>40.924839999999989</v>
      </c>
      <c r="AD17" s="21">
        <f t="shared" si="3"/>
        <v>46.374200000000002</v>
      </c>
      <c r="AE17" s="21">
        <f t="shared" si="3"/>
        <v>51.823559999999993</v>
      </c>
      <c r="AF17" s="21">
        <f t="shared" si="3"/>
        <v>57.272919999999992</v>
      </c>
      <c r="AG17" s="21">
        <f t="shared" si="3"/>
        <v>62.722279999999998</v>
      </c>
      <c r="AH17" s="21">
        <f t="shared" si="3"/>
        <v>68.171639999999996</v>
      </c>
      <c r="AI17" s="21">
        <f t="shared" si="3"/>
        <v>73.620999999999995</v>
      </c>
      <c r="AJ17" s="21">
        <f t="shared" si="3"/>
        <v>79.070359999999994</v>
      </c>
      <c r="AK17" s="21">
        <f t="shared" si="3"/>
        <v>84.519719999999992</v>
      </c>
      <c r="AM17">
        <v>80</v>
      </c>
      <c r="AN17" s="22">
        <f t="shared" si="5"/>
        <v>-13729.725771610587</v>
      </c>
      <c r="AO17" s="22">
        <f t="shared" si="5"/>
        <v>-15868.985654436967</v>
      </c>
      <c r="AP17" s="22">
        <f t="shared" si="5"/>
        <v>-18797.934733570601</v>
      </c>
      <c r="AQ17" s="22">
        <f t="shared" si="5"/>
        <v>-23052.806294952967</v>
      </c>
      <c r="AR17" s="22">
        <f t="shared" si="5"/>
        <v>-29797.377830750891</v>
      </c>
      <c r="AS17" s="22">
        <f t="shared" si="5"/>
        <v>-42120.633494327732</v>
      </c>
      <c r="AT17" s="22">
        <f t="shared" si="5"/>
        <v>-71825.320819766275</v>
      </c>
      <c r="AU17" s="22">
        <f t="shared" si="5"/>
        <v>-243664.71734892763</v>
      </c>
      <c r="AV17" s="22">
        <f t="shared" si="5"/>
        <v>174988.33411105967</v>
      </c>
      <c r="AW17" s="22">
        <f t="shared" si="5"/>
        <v>64377.682403433508</v>
      </c>
      <c r="AX17" s="22">
        <f t="shared" si="5"/>
        <v>39444.619753865598</v>
      </c>
      <c r="AY17" s="22">
        <f t="shared" si="5"/>
        <v>28432.784896504672</v>
      </c>
      <c r="AZ17" s="22">
        <f t="shared" si="5"/>
        <v>22227.490960820352</v>
      </c>
    </row>
    <row r="18" spans="1:57">
      <c r="A18" t="s">
        <v>16</v>
      </c>
      <c r="B18" s="30">
        <v>80.908748000000003</v>
      </c>
      <c r="F18" s="23">
        <v>36000</v>
      </c>
      <c r="G18" s="21">
        <f t="shared" si="1"/>
        <v>1.0893837890035636</v>
      </c>
      <c r="H18" s="21">
        <f t="shared" si="1"/>
        <v>2.975436055283966</v>
      </c>
      <c r="I18" s="21">
        <f t="shared" si="1"/>
        <v>4.8614883215643685</v>
      </c>
      <c r="J18" s="21">
        <f t="shared" si="1"/>
        <v>6.7475405878447718</v>
      </c>
      <c r="K18" s="21">
        <f t="shared" si="1"/>
        <v>8.6335928541251761</v>
      </c>
      <c r="L18" s="21">
        <f t="shared" ref="H18:W29" si="6">((((500*L$30 -32500)/$F18)+0.804)*100)/3.682</f>
        <v>10.519645120405578</v>
      </c>
      <c r="M18" s="21">
        <f t="shared" si="6"/>
        <v>12.405697386685981</v>
      </c>
      <c r="N18" s="21">
        <f t="shared" si="6"/>
        <v>14.291749652966384</v>
      </c>
      <c r="O18" s="21">
        <f t="shared" si="6"/>
        <v>16.177801919246786</v>
      </c>
      <c r="P18" s="21">
        <f t="shared" si="6"/>
        <v>18.063854185527191</v>
      </c>
      <c r="Q18" s="21">
        <f t="shared" si="6"/>
        <v>19.949906451807596</v>
      </c>
      <c r="R18" s="21">
        <f t="shared" si="6"/>
        <v>21.835958718087998</v>
      </c>
      <c r="S18" s="21">
        <f t="shared" si="6"/>
        <v>23.722010984368399</v>
      </c>
      <c r="T18" s="21">
        <f t="shared" si="6"/>
        <v>25.608063250648804</v>
      </c>
      <c r="U18" s="21">
        <f t="shared" si="6"/>
        <v>27.494115516929206</v>
      </c>
      <c r="V18" s="21">
        <f t="shared" si="6"/>
        <v>29.380167783209611</v>
      </c>
      <c r="W18" s="21">
        <f t="shared" si="6"/>
        <v>31.266220049490013</v>
      </c>
      <c r="Y18" s="23">
        <v>36000</v>
      </c>
      <c r="Z18" s="21">
        <f t="shared" si="3"/>
        <v>25.669279999999993</v>
      </c>
      <c r="AA18" s="21">
        <f t="shared" si="3"/>
        <v>30.971359999999997</v>
      </c>
      <c r="AB18" s="21">
        <f t="shared" si="3"/>
        <v>36.273439999999994</v>
      </c>
      <c r="AC18" s="21">
        <f t="shared" si="3"/>
        <v>41.575519999999997</v>
      </c>
      <c r="AD18" s="21">
        <f t="shared" si="3"/>
        <v>46.877600000000001</v>
      </c>
      <c r="AE18" s="21">
        <f t="shared" si="3"/>
        <v>52.179679999999991</v>
      </c>
      <c r="AF18" s="21">
        <f t="shared" si="3"/>
        <v>57.481759999999994</v>
      </c>
      <c r="AG18" s="21">
        <f t="shared" si="3"/>
        <v>62.783839999999998</v>
      </c>
      <c r="AH18" s="21">
        <f t="shared" si="3"/>
        <v>68.085919999999987</v>
      </c>
      <c r="AI18" s="21">
        <f t="shared" si="3"/>
        <v>73.387999999999991</v>
      </c>
      <c r="AJ18" s="21">
        <f t="shared" si="3"/>
        <v>78.690079999999995</v>
      </c>
      <c r="AK18" s="21">
        <f t="shared" si="3"/>
        <v>83.992159999999984</v>
      </c>
      <c r="AM18">
        <v>85</v>
      </c>
      <c r="AN18" s="22">
        <f t="shared" si="5"/>
        <v>-18306.301028814116</v>
      </c>
      <c r="AO18" s="22">
        <f t="shared" si="5"/>
        <v>-21158.64753924929</v>
      </c>
      <c r="AP18" s="22">
        <f t="shared" si="5"/>
        <v>-25063.912978094137</v>
      </c>
      <c r="AQ18" s="22">
        <f t="shared" si="5"/>
        <v>-30737.075059937288</v>
      </c>
      <c r="AR18" s="22">
        <f t="shared" si="5"/>
        <v>-39729.837107667852</v>
      </c>
      <c r="AS18" s="22">
        <f t="shared" si="5"/>
        <v>-56160.844659103641</v>
      </c>
      <c r="AT18" s="22">
        <f t="shared" si="5"/>
        <v>-95767.094426355048</v>
      </c>
      <c r="AU18" s="22">
        <f t="shared" si="5"/>
        <v>-324886.28979857021</v>
      </c>
      <c r="AV18" s="22">
        <f t="shared" si="5"/>
        <v>233317.77881474624</v>
      </c>
      <c r="AW18" s="22">
        <f t="shared" si="5"/>
        <v>85836.909871244687</v>
      </c>
      <c r="AX18" s="22">
        <f t="shared" si="5"/>
        <v>52592.826338487466</v>
      </c>
      <c r="AY18" s="22">
        <f t="shared" si="5"/>
        <v>37910.37986200623</v>
      </c>
      <c r="AZ18" s="22">
        <f t="shared" si="5"/>
        <v>29636.654614427138</v>
      </c>
    </row>
    <row r="19" spans="1:57">
      <c r="A19" t="s">
        <v>83</v>
      </c>
      <c r="B19" s="30">
        <v>28207</v>
      </c>
      <c r="F19" s="23">
        <v>35000</v>
      </c>
      <c r="G19" s="21">
        <f t="shared" si="1"/>
        <v>0.49662450531543589</v>
      </c>
      <c r="H19" s="21">
        <f t="shared" si="6"/>
        <v>2.43656397920385</v>
      </c>
      <c r="I19" s="21">
        <f t="shared" si="6"/>
        <v>4.3765034530922637</v>
      </c>
      <c r="J19" s="21">
        <f t="shared" si="6"/>
        <v>6.316442926980681</v>
      </c>
      <c r="K19" s="21">
        <f t="shared" si="6"/>
        <v>8.2563824008690947</v>
      </c>
      <c r="L19" s="21">
        <f t="shared" si="6"/>
        <v>10.19632187475751</v>
      </c>
      <c r="M19" s="21">
        <f t="shared" si="6"/>
        <v>12.136261348645924</v>
      </c>
      <c r="N19" s="21">
        <f t="shared" si="6"/>
        <v>14.076200822534339</v>
      </c>
      <c r="O19" s="21">
        <f t="shared" si="6"/>
        <v>16.016140296422751</v>
      </c>
      <c r="P19" s="21">
        <f t="shared" si="6"/>
        <v>17.95607977031117</v>
      </c>
      <c r="Q19" s="21">
        <f t="shared" si="6"/>
        <v>19.896019244199582</v>
      </c>
      <c r="R19" s="21">
        <f t="shared" si="6"/>
        <v>21.835958718087998</v>
      </c>
      <c r="S19" s="21">
        <f t="shared" si="6"/>
        <v>23.77589819197641</v>
      </c>
      <c r="T19" s="21">
        <f t="shared" si="6"/>
        <v>25.715837665864825</v>
      </c>
      <c r="U19" s="21">
        <f t="shared" si="6"/>
        <v>27.655777139753237</v>
      </c>
      <c r="V19" s="21">
        <f t="shared" si="6"/>
        <v>29.59571661364166</v>
      </c>
      <c r="W19" s="21">
        <f t="shared" si="6"/>
        <v>31.535656087530075</v>
      </c>
      <c r="Y19" s="23">
        <v>35000</v>
      </c>
      <c r="Z19" s="21">
        <f t="shared" si="3"/>
        <v>26.761799999999994</v>
      </c>
      <c r="AA19" s="21">
        <f t="shared" si="3"/>
        <v>31.916599999999995</v>
      </c>
      <c r="AB19" s="21">
        <f t="shared" si="3"/>
        <v>37.071399999999997</v>
      </c>
      <c r="AC19" s="21">
        <f t="shared" si="3"/>
        <v>42.226199999999992</v>
      </c>
      <c r="AD19" s="21">
        <f t="shared" si="3"/>
        <v>47.381</v>
      </c>
      <c r="AE19" s="21">
        <f t="shared" si="3"/>
        <v>52.535799999999995</v>
      </c>
      <c r="AF19" s="21">
        <f t="shared" si="3"/>
        <v>57.690599999999996</v>
      </c>
      <c r="AG19" s="21">
        <f t="shared" si="3"/>
        <v>62.845399999999998</v>
      </c>
      <c r="AH19" s="21">
        <f t="shared" si="3"/>
        <v>68.000199999999992</v>
      </c>
      <c r="AI19" s="21">
        <f t="shared" si="3"/>
        <v>73.155000000000001</v>
      </c>
      <c r="AJ19" s="21">
        <f t="shared" si="3"/>
        <v>78.309799999999996</v>
      </c>
      <c r="AK19" s="21">
        <f t="shared" si="3"/>
        <v>83.46459999999999</v>
      </c>
      <c r="AM19">
        <v>90</v>
      </c>
      <c r="AN19" s="22">
        <f t="shared" si="5"/>
        <v>-22882.876286017643</v>
      </c>
      <c r="AO19" s="22">
        <f t="shared" si="5"/>
        <v>-26448.309424061612</v>
      </c>
      <c r="AP19" s="22">
        <f t="shared" si="5"/>
        <v>-31329.891222617669</v>
      </c>
      <c r="AQ19" s="22">
        <f t="shared" si="5"/>
        <v>-38421.343824921612</v>
      </c>
      <c r="AR19" s="22">
        <f t="shared" si="5"/>
        <v>-49662.296384584813</v>
      </c>
      <c r="AS19" s="22">
        <f t="shared" si="5"/>
        <v>-70201.055823879549</v>
      </c>
      <c r="AT19" s="22">
        <f t="shared" si="5"/>
        <v>-119708.86803294381</v>
      </c>
      <c r="AU19" s="22">
        <f t="shared" si="5"/>
        <v>-406107.86224821274</v>
      </c>
      <c r="AV19" s="22">
        <f t="shared" si="5"/>
        <v>291647.22351843282</v>
      </c>
      <c r="AW19" s="22">
        <f t="shared" si="5"/>
        <v>107296.13733905586</v>
      </c>
      <c r="AX19" s="22">
        <f t="shared" si="5"/>
        <v>65741.032923109335</v>
      </c>
      <c r="AY19" s="22">
        <f t="shared" si="5"/>
        <v>47387.974827507787</v>
      </c>
      <c r="AZ19" s="22">
        <f t="shared" si="5"/>
        <v>37045.818268033923</v>
      </c>
    </row>
    <row r="20" spans="1:57">
      <c r="F20" s="23">
        <v>34000</v>
      </c>
      <c r="G20" s="21">
        <f t="shared" si="1"/>
        <v>-0.13100297153081669</v>
      </c>
      <c r="H20" s="21">
        <f t="shared" si="6"/>
        <v>1.8659935457072563</v>
      </c>
      <c r="I20" s="21">
        <f t="shared" si="6"/>
        <v>3.862990062945332</v>
      </c>
      <c r="J20" s="21">
        <f t="shared" si="6"/>
        <v>5.8599865801834046</v>
      </c>
      <c r="K20" s="21">
        <f t="shared" si="6"/>
        <v>7.8569830974214812</v>
      </c>
      <c r="L20" s="21">
        <f t="shared" si="6"/>
        <v>9.8539796146595542</v>
      </c>
      <c r="M20" s="21">
        <f t="shared" si="6"/>
        <v>11.850976131897628</v>
      </c>
      <c r="N20" s="21">
        <f t="shared" si="6"/>
        <v>13.847972649135698</v>
      </c>
      <c r="O20" s="21">
        <f t="shared" si="6"/>
        <v>15.844969166373774</v>
      </c>
      <c r="P20" s="21">
        <f t="shared" si="6"/>
        <v>17.84196568361185</v>
      </c>
      <c r="Q20" s="21">
        <f t="shared" si="6"/>
        <v>19.838962200849927</v>
      </c>
      <c r="R20" s="21">
        <f t="shared" si="6"/>
        <v>21.835958718087998</v>
      </c>
      <c r="S20" s="21">
        <f t="shared" si="6"/>
        <v>23.832955235326068</v>
      </c>
      <c r="T20" s="21">
        <f t="shared" si="6"/>
        <v>25.829951752564146</v>
      </c>
      <c r="U20" s="21">
        <f t="shared" si="6"/>
        <v>27.826948269802216</v>
      </c>
      <c r="V20" s="21">
        <f t="shared" si="6"/>
        <v>29.823944787040297</v>
      </c>
      <c r="W20" s="21">
        <f t="shared" si="6"/>
        <v>31.820941304278367</v>
      </c>
      <c r="Y20" s="23">
        <v>34000</v>
      </c>
      <c r="Z20" s="21">
        <f t="shared" si="3"/>
        <v>27.854319999999994</v>
      </c>
      <c r="AA20" s="21">
        <f t="shared" si="3"/>
        <v>32.861839999999994</v>
      </c>
      <c r="AB20" s="21">
        <f t="shared" si="3"/>
        <v>37.86936</v>
      </c>
      <c r="AC20" s="21">
        <f t="shared" si="3"/>
        <v>42.876879999999993</v>
      </c>
      <c r="AD20" s="21">
        <f t="shared" si="3"/>
        <v>47.884399999999999</v>
      </c>
      <c r="AE20" s="21">
        <f t="shared" si="3"/>
        <v>52.891919999999992</v>
      </c>
      <c r="AF20" s="21">
        <f t="shared" si="3"/>
        <v>57.899439999999998</v>
      </c>
      <c r="AG20" s="21">
        <f t="shared" si="3"/>
        <v>62.906959999999998</v>
      </c>
      <c r="AH20" s="21">
        <f t="shared" si="3"/>
        <v>67.914479999999998</v>
      </c>
      <c r="AI20" s="21">
        <f t="shared" si="3"/>
        <v>72.921999999999997</v>
      </c>
      <c r="AJ20" s="21">
        <f t="shared" si="3"/>
        <v>77.929519999999997</v>
      </c>
      <c r="AK20" s="21">
        <f t="shared" si="3"/>
        <v>82.937039999999996</v>
      </c>
      <c r="AM20">
        <v>100</v>
      </c>
      <c r="AN20" s="22">
        <f t="shared" si="5"/>
        <v>-32036.026800424701</v>
      </c>
      <c r="AO20" s="22">
        <f t="shared" si="5"/>
        <v>-37027.633193686255</v>
      </c>
      <c r="AP20" s="22">
        <f t="shared" si="5"/>
        <v>-43861.847711664741</v>
      </c>
      <c r="AQ20" s="22">
        <f t="shared" si="5"/>
        <v>-53789.881354890254</v>
      </c>
      <c r="AR20" s="22">
        <f t="shared" si="5"/>
        <v>-69527.214938418736</v>
      </c>
      <c r="AS20" s="22">
        <f t="shared" si="5"/>
        <v>-98281.478153431366</v>
      </c>
      <c r="AT20" s="22">
        <f t="shared" si="5"/>
        <v>-167592.41524612132</v>
      </c>
      <c r="AU20" s="22">
        <f t="shared" si="5"/>
        <v>-568551.00714749785</v>
      </c>
      <c r="AV20" s="22">
        <f t="shared" si="5"/>
        <v>408306.11292580591</v>
      </c>
      <c r="AW20" s="22">
        <f t="shared" si="5"/>
        <v>150214.5922746782</v>
      </c>
      <c r="AX20" s="22">
        <f t="shared" si="5"/>
        <v>92037.446092353071</v>
      </c>
      <c r="AY20" s="22">
        <f t="shared" si="5"/>
        <v>66343.164758510902</v>
      </c>
      <c r="AZ20" s="22">
        <f t="shared" si="5"/>
        <v>51864.145575247494</v>
      </c>
    </row>
    <row r="21" spans="1:57">
      <c r="A21" t="s">
        <v>61</v>
      </c>
      <c r="B21">
        <f>((500*(B18-65))/B19)+16.7</f>
        <v>16.981999999999999</v>
      </c>
      <c r="F21" s="23">
        <v>33000</v>
      </c>
      <c r="G21" s="21">
        <f t="shared" si="1"/>
        <v>-0.79666847727684198</v>
      </c>
      <c r="H21" s="21">
        <f t="shared" si="6"/>
        <v>1.2608430859381445</v>
      </c>
      <c r="I21" s="21">
        <f t="shared" si="6"/>
        <v>3.3183546491531311</v>
      </c>
      <c r="J21" s="21">
        <f t="shared" si="6"/>
        <v>5.3758662123681145</v>
      </c>
      <c r="K21" s="21">
        <f t="shared" si="6"/>
        <v>7.433377775583101</v>
      </c>
      <c r="L21" s="21">
        <f t="shared" si="6"/>
        <v>9.4908893387980857</v>
      </c>
      <c r="M21" s="21">
        <f t="shared" si="6"/>
        <v>11.54840090201307</v>
      </c>
      <c r="N21" s="21">
        <f t="shared" si="6"/>
        <v>13.605912465228059</v>
      </c>
      <c r="O21" s="21">
        <f t="shared" si="6"/>
        <v>15.663424028443039</v>
      </c>
      <c r="P21" s="21">
        <f t="shared" si="6"/>
        <v>17.720935591658026</v>
      </c>
      <c r="Q21" s="21">
        <f t="shared" si="6"/>
        <v>19.77844715487301</v>
      </c>
      <c r="R21" s="21">
        <f t="shared" si="6"/>
        <v>21.835958718087998</v>
      </c>
      <c r="S21" s="21">
        <f t="shared" si="6"/>
        <v>23.893470281302985</v>
      </c>
      <c r="T21" s="21">
        <f t="shared" si="6"/>
        <v>25.950981844517965</v>
      </c>
      <c r="U21" s="21">
        <f t="shared" si="6"/>
        <v>28.008493407732956</v>
      </c>
      <c r="V21" s="21">
        <f t="shared" si="6"/>
        <v>30.066004970947937</v>
      </c>
      <c r="W21" s="21">
        <f t="shared" si="6"/>
        <v>32.123516534162917</v>
      </c>
      <c r="Y21" s="23">
        <v>33000</v>
      </c>
      <c r="Z21" s="21">
        <f t="shared" si="3"/>
        <v>28.946839999999995</v>
      </c>
      <c r="AA21" s="21">
        <f t="shared" si="3"/>
        <v>33.807079999999999</v>
      </c>
      <c r="AB21" s="21">
        <f t="shared" si="3"/>
        <v>38.667319999999997</v>
      </c>
      <c r="AC21" s="21">
        <f t="shared" si="3"/>
        <v>43.527559999999994</v>
      </c>
      <c r="AD21" s="21">
        <f t="shared" si="3"/>
        <v>48.387799999999999</v>
      </c>
      <c r="AE21" s="21">
        <f t="shared" si="3"/>
        <v>53.248039999999996</v>
      </c>
      <c r="AF21" s="21">
        <f t="shared" si="3"/>
        <v>58.108279999999993</v>
      </c>
      <c r="AG21" s="21">
        <f t="shared" si="3"/>
        <v>62.968519999999998</v>
      </c>
      <c r="AH21" s="21">
        <f t="shared" si="3"/>
        <v>67.828759999999988</v>
      </c>
      <c r="AI21" s="21">
        <f t="shared" si="3"/>
        <v>72.688999999999993</v>
      </c>
      <c r="AJ21" s="21">
        <f t="shared" si="3"/>
        <v>77.549239999999998</v>
      </c>
      <c r="AK21" s="21">
        <f t="shared" si="3"/>
        <v>82.409479999999988</v>
      </c>
      <c r="AM21">
        <v>120</v>
      </c>
      <c r="AN21" s="22">
        <f t="shared" si="5"/>
        <v>-50342.327829238813</v>
      </c>
      <c r="AO21" s="22">
        <f t="shared" si="5"/>
        <v>-58186.280732935549</v>
      </c>
      <c r="AP21" s="22">
        <f t="shared" si="5"/>
        <v>-68925.76068975887</v>
      </c>
      <c r="AQ21" s="22">
        <f t="shared" si="5"/>
        <v>-84526.956414827553</v>
      </c>
      <c r="AR21" s="22">
        <f t="shared" si="5"/>
        <v>-109257.0520460866</v>
      </c>
      <c r="AS21" s="22">
        <f t="shared" si="5"/>
        <v>-154442.32281253501</v>
      </c>
      <c r="AT21" s="22">
        <f t="shared" si="5"/>
        <v>-263359.50967247639</v>
      </c>
      <c r="AU21" s="22">
        <f t="shared" si="5"/>
        <v>-893437.29694606806</v>
      </c>
      <c r="AV21" s="22">
        <f t="shared" si="5"/>
        <v>641623.89174055215</v>
      </c>
      <c r="AW21" s="22">
        <f t="shared" si="5"/>
        <v>236051.50214592289</v>
      </c>
      <c r="AX21" s="22">
        <f t="shared" si="5"/>
        <v>144630.27243084053</v>
      </c>
      <c r="AY21" s="22">
        <f t="shared" si="5"/>
        <v>104253.54462051713</v>
      </c>
      <c r="AZ21" s="22">
        <f t="shared" si="5"/>
        <v>81500.800189674628</v>
      </c>
    </row>
    <row r="22" spans="1:57">
      <c r="A22" t="s">
        <v>85</v>
      </c>
      <c r="B22">
        <f>((((500*B18 -32500)/B19)+0.804)*100)/3.682</f>
        <v>29.494839760999465</v>
      </c>
      <c r="F22" s="23">
        <v>32000</v>
      </c>
      <c r="G22" s="21">
        <f t="shared" si="1"/>
        <v>-1.5039380771319921</v>
      </c>
      <c r="H22" s="21">
        <f t="shared" si="6"/>
        <v>0.61787072243346142</v>
      </c>
      <c r="I22" s="21">
        <f t="shared" si="6"/>
        <v>2.7396795219989154</v>
      </c>
      <c r="J22" s="21">
        <f t="shared" si="6"/>
        <v>4.8614883215643685</v>
      </c>
      <c r="K22" s="21">
        <f t="shared" si="6"/>
        <v>6.983297121129822</v>
      </c>
      <c r="L22" s="21">
        <f t="shared" si="6"/>
        <v>9.1051059206952765</v>
      </c>
      <c r="M22" s="21">
        <f t="shared" si="6"/>
        <v>11.22691472026073</v>
      </c>
      <c r="N22" s="21">
        <f t="shared" si="6"/>
        <v>13.348723519826184</v>
      </c>
      <c r="O22" s="21">
        <f t="shared" si="6"/>
        <v>15.470532319391637</v>
      </c>
      <c r="P22" s="21">
        <f t="shared" si="6"/>
        <v>17.592341118957091</v>
      </c>
      <c r="Q22" s="21">
        <f t="shared" si="6"/>
        <v>19.714149918522544</v>
      </c>
      <c r="R22" s="21">
        <f t="shared" si="6"/>
        <v>21.835958718087998</v>
      </c>
      <c r="S22" s="21">
        <f t="shared" si="6"/>
        <v>23.957767517653451</v>
      </c>
      <c r="T22" s="21">
        <f t="shared" si="6"/>
        <v>26.079576317218905</v>
      </c>
      <c r="U22" s="21">
        <f t="shared" si="6"/>
        <v>28.201385116784358</v>
      </c>
      <c r="V22" s="21">
        <f t="shared" si="6"/>
        <v>30.323193916349812</v>
      </c>
      <c r="W22" s="21">
        <f t="shared" si="6"/>
        <v>32.445002715915265</v>
      </c>
      <c r="Y22" s="23">
        <v>32000</v>
      </c>
      <c r="Z22" s="21">
        <f t="shared" si="3"/>
        <v>30.039359999999995</v>
      </c>
      <c r="AA22" s="21">
        <f t="shared" si="3"/>
        <v>34.752319999999997</v>
      </c>
      <c r="AB22" s="21">
        <f t="shared" si="3"/>
        <v>39.465279999999993</v>
      </c>
      <c r="AC22" s="21">
        <f t="shared" si="3"/>
        <v>44.178239999999995</v>
      </c>
      <c r="AD22" s="21">
        <f t="shared" si="3"/>
        <v>48.891199999999998</v>
      </c>
      <c r="AE22" s="21">
        <f t="shared" si="3"/>
        <v>53.604159999999993</v>
      </c>
      <c r="AF22" s="21">
        <f t="shared" si="3"/>
        <v>58.317119999999996</v>
      </c>
      <c r="AG22" s="21">
        <f t="shared" si="3"/>
        <v>63.030079999999998</v>
      </c>
      <c r="AH22" s="21">
        <f t="shared" si="3"/>
        <v>67.743039999999993</v>
      </c>
      <c r="AI22" s="21">
        <f t="shared" si="3"/>
        <v>72.455999999999989</v>
      </c>
      <c r="AJ22" s="21">
        <f t="shared" si="3"/>
        <v>77.168959999999998</v>
      </c>
      <c r="AK22" s="21">
        <f t="shared" si="3"/>
        <v>81.881919999999994</v>
      </c>
    </row>
    <row r="23" spans="1:57">
      <c r="F23" s="23">
        <v>31000</v>
      </c>
      <c r="G23" s="21">
        <f t="shared" si="1"/>
        <v>-2.2568379737519915</v>
      </c>
      <c r="H23" s="21">
        <f t="shared" si="6"/>
        <v>-6.6583729039264211E-2</v>
      </c>
      <c r="I23" s="21">
        <f t="shared" si="6"/>
        <v>2.1236705156734601</v>
      </c>
      <c r="J23" s="21">
        <f t="shared" si="6"/>
        <v>4.313924760386187</v>
      </c>
      <c r="K23" s="21">
        <f t="shared" si="6"/>
        <v>6.5041790050989121</v>
      </c>
      <c r="L23" s="21">
        <f t="shared" si="6"/>
        <v>8.6944332498116381</v>
      </c>
      <c r="M23" s="21">
        <f t="shared" si="6"/>
        <v>10.884687494524366</v>
      </c>
      <c r="N23" s="21">
        <f t="shared" si="6"/>
        <v>13.074941739237092</v>
      </c>
      <c r="O23" s="21">
        <f t="shared" si="6"/>
        <v>15.265195983949818</v>
      </c>
      <c r="P23" s="21">
        <f t="shared" si="6"/>
        <v>17.455450228662546</v>
      </c>
      <c r="Q23" s="21">
        <f t="shared" si="6"/>
        <v>19.645704473375272</v>
      </c>
      <c r="R23" s="21">
        <f t="shared" si="6"/>
        <v>21.835958718087998</v>
      </c>
      <c r="S23" s="21">
        <f t="shared" si="6"/>
        <v>24.026212962800724</v>
      </c>
      <c r="T23" s="21">
        <f t="shared" si="6"/>
        <v>26.21646720751345</v>
      </c>
      <c r="U23" s="21">
        <f t="shared" si="6"/>
        <v>28.406721452226176</v>
      </c>
      <c r="V23" s="21">
        <f t="shared" si="6"/>
        <v>30.596975696938902</v>
      </c>
      <c r="W23" s="21">
        <f t="shared" si="6"/>
        <v>32.787229941651624</v>
      </c>
      <c r="Y23" s="23">
        <v>31000</v>
      </c>
      <c r="Z23" s="21">
        <f t="shared" si="3"/>
        <v>31.131879999999995</v>
      </c>
      <c r="AA23" s="21">
        <f t="shared" si="3"/>
        <v>35.697559999999996</v>
      </c>
      <c r="AB23" s="21">
        <f t="shared" si="3"/>
        <v>40.263239999999996</v>
      </c>
      <c r="AC23" s="21">
        <f t="shared" si="3"/>
        <v>44.828919999999997</v>
      </c>
      <c r="AD23" s="21">
        <f t="shared" si="3"/>
        <v>49.394599999999997</v>
      </c>
      <c r="AE23" s="21">
        <f t="shared" si="3"/>
        <v>53.960279999999997</v>
      </c>
      <c r="AF23" s="21">
        <f t="shared" si="3"/>
        <v>58.525959999999998</v>
      </c>
      <c r="AG23" s="21">
        <f t="shared" si="3"/>
        <v>63.091639999999998</v>
      </c>
      <c r="AH23" s="21">
        <f t="shared" si="3"/>
        <v>67.657319999999999</v>
      </c>
      <c r="AI23" s="21">
        <f t="shared" si="3"/>
        <v>72.222999999999999</v>
      </c>
      <c r="AJ23" s="21">
        <f t="shared" si="3"/>
        <v>76.788679999999985</v>
      </c>
      <c r="AK23" s="21">
        <f t="shared" si="3"/>
        <v>81.354359999999986</v>
      </c>
    </row>
    <row r="24" spans="1:57">
      <c r="F24" s="23">
        <v>30000</v>
      </c>
      <c r="G24" s="21">
        <f t="shared" si="1"/>
        <v>-3.059931196813324</v>
      </c>
      <c r="H24" s="21">
        <f t="shared" si="6"/>
        <v>-0.79666847727684198</v>
      </c>
      <c r="I24" s="21">
        <f t="shared" si="6"/>
        <v>1.4665942422596427</v>
      </c>
      <c r="J24" s="21">
        <f t="shared" si="6"/>
        <v>3.7298569617961275</v>
      </c>
      <c r="K24" s="21">
        <f t="shared" si="6"/>
        <v>5.9931196813326091</v>
      </c>
      <c r="L24" s="21">
        <f t="shared" si="6"/>
        <v>8.2563824008690947</v>
      </c>
      <c r="M24" s="21">
        <f t="shared" si="6"/>
        <v>10.519645120405578</v>
      </c>
      <c r="N24" s="21">
        <f t="shared" si="6"/>
        <v>12.782907839942062</v>
      </c>
      <c r="O24" s="21">
        <f t="shared" si="6"/>
        <v>15.046170559478545</v>
      </c>
      <c r="P24" s="21">
        <f t="shared" si="6"/>
        <v>17.309433279015032</v>
      </c>
      <c r="Q24" s="21">
        <f t="shared" si="6"/>
        <v>19.572695998551509</v>
      </c>
      <c r="R24" s="21">
        <f t="shared" si="6"/>
        <v>21.835958718087998</v>
      </c>
      <c r="S24" s="21">
        <f t="shared" si="6"/>
        <v>24.099221437624482</v>
      </c>
      <c r="T24" s="21">
        <f t="shared" si="6"/>
        <v>26.362484157160964</v>
      </c>
      <c r="U24" s="21">
        <f t="shared" si="6"/>
        <v>28.625746876697448</v>
      </c>
      <c r="V24" s="21">
        <f t="shared" si="6"/>
        <v>30.889009596233933</v>
      </c>
      <c r="W24" s="21">
        <f t="shared" si="6"/>
        <v>33.152272315770418</v>
      </c>
      <c r="Y24" s="23">
        <v>30000</v>
      </c>
      <c r="Z24" s="21">
        <f t="shared" si="3"/>
        <v>32.224399999999996</v>
      </c>
      <c r="AA24" s="21">
        <f t="shared" si="3"/>
        <v>36.642799999999994</v>
      </c>
      <c r="AB24" s="21">
        <f t="shared" si="3"/>
        <v>41.061199999999999</v>
      </c>
      <c r="AC24" s="21">
        <f t="shared" ref="AA24:AK28" si="7">(($Y24*(0.03682*AC$30-0.804))/500)+65</f>
        <v>45.479599999999991</v>
      </c>
      <c r="AD24" s="21">
        <f t="shared" si="7"/>
        <v>49.897999999999996</v>
      </c>
      <c r="AE24" s="21">
        <f t="shared" si="7"/>
        <v>54.316399999999994</v>
      </c>
      <c r="AF24" s="21">
        <f t="shared" si="7"/>
        <v>58.734799999999993</v>
      </c>
      <c r="AG24" s="21">
        <f t="shared" si="7"/>
        <v>63.153199999999998</v>
      </c>
      <c r="AH24" s="21">
        <f t="shared" si="7"/>
        <v>67.571599999999989</v>
      </c>
      <c r="AI24" s="21">
        <f t="shared" si="7"/>
        <v>71.989999999999995</v>
      </c>
      <c r="AJ24" s="21">
        <f t="shared" si="7"/>
        <v>76.4084</v>
      </c>
      <c r="AK24" s="21">
        <f t="shared" si="7"/>
        <v>80.826799999999992</v>
      </c>
      <c r="AN24">
        <v>7</v>
      </c>
      <c r="AO24">
        <v>9</v>
      </c>
      <c r="AP24">
        <v>11</v>
      </c>
      <c r="AQ24">
        <v>13</v>
      </c>
      <c r="AR24">
        <v>15</v>
      </c>
      <c r="AS24">
        <v>17</v>
      </c>
      <c r="AT24">
        <v>19</v>
      </c>
      <c r="AU24">
        <v>21</v>
      </c>
      <c r="AV24">
        <v>23</v>
      </c>
      <c r="AW24">
        <v>25</v>
      </c>
      <c r="AX24">
        <v>27</v>
      </c>
      <c r="AY24">
        <v>29</v>
      </c>
      <c r="AZ24">
        <v>31</v>
      </c>
    </row>
    <row r="25" spans="1:57">
      <c r="A25" t="s">
        <v>83</v>
      </c>
      <c r="B25" s="30">
        <v>28207</v>
      </c>
      <c r="F25" s="23">
        <v>29000</v>
      </c>
      <c r="G25" s="21">
        <f t="shared" si="1"/>
        <v>-3.9184101593961294</v>
      </c>
      <c r="H25" s="21">
        <f t="shared" si="6"/>
        <v>-1.5771038978066616</v>
      </c>
      <c r="I25" s="21">
        <f t="shared" si="6"/>
        <v>0.76420236378280315</v>
      </c>
      <c r="J25" s="21">
        <f t="shared" si="6"/>
        <v>3.1055086253722677</v>
      </c>
      <c r="K25" s="21">
        <f t="shared" si="6"/>
        <v>5.446814886961735</v>
      </c>
      <c r="L25" s="21">
        <f t="shared" si="6"/>
        <v>7.7881211485512001</v>
      </c>
      <c r="M25" s="21">
        <f t="shared" si="6"/>
        <v>10.12942741014067</v>
      </c>
      <c r="N25" s="21">
        <f t="shared" si="6"/>
        <v>12.470733671730132</v>
      </c>
      <c r="O25" s="21">
        <f t="shared" si="6"/>
        <v>14.8120399333196</v>
      </c>
      <c r="P25" s="21">
        <f t="shared" si="6"/>
        <v>17.153346194909066</v>
      </c>
      <c r="Q25" s="21">
        <f t="shared" si="6"/>
        <v>19.494652456498528</v>
      </c>
      <c r="R25" s="21">
        <f t="shared" si="6"/>
        <v>21.835958718087998</v>
      </c>
      <c r="S25" s="21">
        <f t="shared" si="6"/>
        <v>24.177264979677464</v>
      </c>
      <c r="T25" s="21">
        <f t="shared" si="6"/>
        <v>26.51857124126693</v>
      </c>
      <c r="U25" s="21">
        <f t="shared" si="6"/>
        <v>28.859877502856396</v>
      </c>
      <c r="V25" s="21">
        <f t="shared" si="6"/>
        <v>31.201183764445862</v>
      </c>
      <c r="W25" s="21">
        <f t="shared" si="6"/>
        <v>33.542490026035331</v>
      </c>
      <c r="Y25" s="23">
        <v>29000</v>
      </c>
      <c r="Z25" s="21">
        <f t="shared" ref="Z25:Z28" si="8">(($Y25*(0.03682*Z$30-0.804))/500)+65</f>
        <v>33.316919999999996</v>
      </c>
      <c r="AA25" s="21">
        <f t="shared" si="7"/>
        <v>37.588039999999992</v>
      </c>
      <c r="AB25" s="21">
        <f t="shared" si="7"/>
        <v>41.859159999999996</v>
      </c>
      <c r="AC25" s="21">
        <f t="shared" si="7"/>
        <v>46.130279999999999</v>
      </c>
      <c r="AD25" s="21">
        <f t="shared" si="7"/>
        <v>50.401399999999995</v>
      </c>
      <c r="AE25" s="21">
        <f t="shared" si="7"/>
        <v>54.672519999999992</v>
      </c>
      <c r="AF25" s="21">
        <f t="shared" si="7"/>
        <v>58.943639999999995</v>
      </c>
      <c r="AG25" s="21">
        <f t="shared" si="7"/>
        <v>63.214759999999998</v>
      </c>
      <c r="AH25" s="21">
        <f t="shared" si="7"/>
        <v>67.485879999999995</v>
      </c>
      <c r="AI25" s="21">
        <f t="shared" si="7"/>
        <v>71.756999999999991</v>
      </c>
      <c r="AJ25" s="21">
        <f t="shared" si="7"/>
        <v>76.028119999999987</v>
      </c>
      <c r="AK25" s="21">
        <f t="shared" si="7"/>
        <v>80.299239999999998</v>
      </c>
    </row>
    <row r="26" spans="1:57">
      <c r="A26" t="s">
        <v>61</v>
      </c>
      <c r="B26" s="30">
        <v>16.981999999999999</v>
      </c>
      <c r="F26" s="23">
        <v>28000</v>
      </c>
      <c r="G26" s="21">
        <f t="shared" si="1"/>
        <v>-4.8382090478777044</v>
      </c>
      <c r="H26" s="21">
        <f t="shared" si="6"/>
        <v>-2.4132847055171882</v>
      </c>
      <c r="I26" s="21">
        <f t="shared" si="6"/>
        <v>1.1639636843330929E-2</v>
      </c>
      <c r="J26" s="21">
        <f t="shared" si="6"/>
        <v>2.43656397920385</v>
      </c>
      <c r="K26" s="21">
        <f t="shared" si="6"/>
        <v>4.8614883215643685</v>
      </c>
      <c r="L26" s="21">
        <f t="shared" si="6"/>
        <v>7.2864126639248878</v>
      </c>
      <c r="M26" s="21">
        <f t="shared" si="6"/>
        <v>9.7113370062854045</v>
      </c>
      <c r="N26" s="21">
        <f t="shared" si="6"/>
        <v>12.136261348645924</v>
      </c>
      <c r="O26" s="21">
        <f t="shared" si="6"/>
        <v>14.561185691006445</v>
      </c>
      <c r="P26" s="21">
        <f t="shared" si="6"/>
        <v>16.986110033366959</v>
      </c>
      <c r="Q26" s="21">
        <f t="shared" si="6"/>
        <v>19.411034375727478</v>
      </c>
      <c r="R26" s="21">
        <f t="shared" si="6"/>
        <v>21.835958718087998</v>
      </c>
      <c r="S26" s="21">
        <f t="shared" si="6"/>
        <v>24.260883060448517</v>
      </c>
      <c r="T26" s="21">
        <f t="shared" si="6"/>
        <v>26.685807402809036</v>
      </c>
      <c r="U26" s="21">
        <f t="shared" si="6"/>
        <v>29.110731745169552</v>
      </c>
      <c r="V26" s="21">
        <f t="shared" si="6"/>
        <v>31.535656087530075</v>
      </c>
      <c r="W26" s="21">
        <f t="shared" si="6"/>
        <v>33.960580429890591</v>
      </c>
      <c r="Y26" s="23">
        <v>28000</v>
      </c>
      <c r="Z26" s="21">
        <f t="shared" si="8"/>
        <v>34.409439999999996</v>
      </c>
      <c r="AA26" s="21">
        <f t="shared" si="7"/>
        <v>38.533279999999998</v>
      </c>
      <c r="AB26" s="21">
        <f t="shared" si="7"/>
        <v>42.657119999999992</v>
      </c>
      <c r="AC26" s="21">
        <f t="shared" si="7"/>
        <v>46.780959999999993</v>
      </c>
      <c r="AD26" s="21">
        <f t="shared" si="7"/>
        <v>50.904799999999994</v>
      </c>
      <c r="AE26" s="21">
        <f t="shared" si="7"/>
        <v>55.028639999999996</v>
      </c>
      <c r="AF26" s="21">
        <f t="shared" si="7"/>
        <v>59.152479999999997</v>
      </c>
      <c r="AG26" s="21">
        <f t="shared" si="7"/>
        <v>63.276319999999998</v>
      </c>
      <c r="AH26" s="21">
        <f t="shared" si="7"/>
        <v>67.40016</v>
      </c>
      <c r="AI26" s="21">
        <f t="shared" si="7"/>
        <v>71.524000000000001</v>
      </c>
      <c r="AJ26" s="21">
        <f t="shared" si="7"/>
        <v>75.647839999999988</v>
      </c>
      <c r="AK26" s="21">
        <f t="shared" si="7"/>
        <v>79.771679999999989</v>
      </c>
    </row>
    <row r="27" spans="1:57">
      <c r="F27" s="23">
        <v>27000</v>
      </c>
      <c r="G27" s="21">
        <f t="shared" si="1"/>
        <v>-5.8261411873579183</v>
      </c>
      <c r="H27" s="21">
        <f t="shared" si="6"/>
        <v>-3.3114048323173786</v>
      </c>
      <c r="I27" s="21">
        <f t="shared" si="6"/>
        <v>-0.79666847727684198</v>
      </c>
      <c r="J27" s="21">
        <f t="shared" si="6"/>
        <v>1.7180678777636977</v>
      </c>
      <c r="K27" s="21">
        <f t="shared" si="6"/>
        <v>4.2328042328042343</v>
      </c>
      <c r="L27" s="21">
        <f t="shared" si="6"/>
        <v>6.7475405878447718</v>
      </c>
      <c r="M27" s="21">
        <f t="shared" si="6"/>
        <v>9.2622769428853093</v>
      </c>
      <c r="N27" s="21">
        <f t="shared" si="6"/>
        <v>11.777013297925848</v>
      </c>
      <c r="O27" s="21">
        <f t="shared" si="6"/>
        <v>14.291749652966384</v>
      </c>
      <c r="P27" s="21">
        <f t="shared" si="6"/>
        <v>16.806486008006924</v>
      </c>
      <c r="Q27" s="21">
        <f t="shared" si="6"/>
        <v>19.321222363047461</v>
      </c>
      <c r="R27" s="21">
        <f t="shared" si="6"/>
        <v>21.835958718087998</v>
      </c>
      <c r="S27" s="21">
        <f t="shared" si="6"/>
        <v>24.350695073128534</v>
      </c>
      <c r="T27" s="21">
        <f t="shared" si="6"/>
        <v>26.865431428169067</v>
      </c>
      <c r="U27" s="21">
        <f t="shared" si="6"/>
        <v>29.380167783209611</v>
      </c>
      <c r="V27" s="21">
        <f t="shared" si="6"/>
        <v>31.894904138250148</v>
      </c>
      <c r="W27" s="21">
        <f t="shared" si="6"/>
        <v>34.409640493290688</v>
      </c>
      <c r="Y27" s="23">
        <v>27000</v>
      </c>
      <c r="Z27" s="21">
        <f t="shared" si="8"/>
        <v>35.501959999999997</v>
      </c>
      <c r="AA27" s="21">
        <f t="shared" si="7"/>
        <v>39.478519999999996</v>
      </c>
      <c r="AB27" s="21">
        <f t="shared" si="7"/>
        <v>43.455079999999995</v>
      </c>
      <c r="AC27" s="21">
        <f t="shared" si="7"/>
        <v>47.431639999999994</v>
      </c>
      <c r="AD27" s="21">
        <f t="shared" si="7"/>
        <v>51.408200000000001</v>
      </c>
      <c r="AE27" s="21">
        <f t="shared" si="7"/>
        <v>55.384759999999993</v>
      </c>
      <c r="AF27" s="21">
        <f t="shared" si="7"/>
        <v>59.361319999999992</v>
      </c>
      <c r="AG27" s="21">
        <f t="shared" si="7"/>
        <v>63.337879999999998</v>
      </c>
      <c r="AH27" s="21">
        <f t="shared" si="7"/>
        <v>67.314439999999991</v>
      </c>
      <c r="AI27" s="21">
        <f t="shared" si="7"/>
        <v>71.290999999999997</v>
      </c>
      <c r="AJ27" s="21">
        <f t="shared" si="7"/>
        <v>75.267559999999989</v>
      </c>
      <c r="AK27" s="21">
        <f t="shared" si="7"/>
        <v>79.244119999999995</v>
      </c>
    </row>
    <row r="28" spans="1:57">
      <c r="A28" t="s">
        <v>16</v>
      </c>
      <c r="B28">
        <f>((B25*(B26-16.7))/500)+65</f>
        <v>80.908748000000003</v>
      </c>
      <c r="F28" s="23">
        <v>26000</v>
      </c>
      <c r="G28" s="21">
        <f t="shared" si="1"/>
        <v>-6.8900681067981449</v>
      </c>
      <c r="H28" s="21">
        <f t="shared" si="6"/>
        <v>-4.278611122717586</v>
      </c>
      <c r="I28" s="21">
        <f t="shared" si="6"/>
        <v>-1.6671541386370281</v>
      </c>
      <c r="J28" s="21">
        <f t="shared" si="6"/>
        <v>0.94430284544353005</v>
      </c>
      <c r="K28" s="21">
        <f t="shared" si="6"/>
        <v>3.5557598295240882</v>
      </c>
      <c r="L28" s="21">
        <f t="shared" si="6"/>
        <v>6.1672168136046492</v>
      </c>
      <c r="M28" s="21">
        <f t="shared" si="6"/>
        <v>8.7786737976852045</v>
      </c>
      <c r="N28" s="21">
        <f t="shared" si="6"/>
        <v>11.390130781765762</v>
      </c>
      <c r="O28" s="21">
        <f t="shared" si="6"/>
        <v>14.001587765846322</v>
      </c>
      <c r="P28" s="21">
        <f t="shared" si="6"/>
        <v>16.613044749926882</v>
      </c>
      <c r="Q28" s="21">
        <f t="shared" si="6"/>
        <v>19.22450173400744</v>
      </c>
      <c r="R28" s="21">
        <f t="shared" si="6"/>
        <v>21.835958718087998</v>
      </c>
      <c r="S28" s="21">
        <f t="shared" si="6"/>
        <v>24.447415702168556</v>
      </c>
      <c r="T28" s="21">
        <f t="shared" si="6"/>
        <v>27.058872686249114</v>
      </c>
      <c r="U28" s="21">
        <f t="shared" si="6"/>
        <v>29.670329670329675</v>
      </c>
      <c r="V28" s="21">
        <f t="shared" si="6"/>
        <v>32.281786654410226</v>
      </c>
      <c r="W28" s="21">
        <f t="shared" si="6"/>
        <v>34.893243638490794</v>
      </c>
      <c r="Y28" s="23">
        <v>26000</v>
      </c>
      <c r="Z28" s="21">
        <f t="shared" si="8"/>
        <v>36.594479999999997</v>
      </c>
      <c r="AA28" s="21">
        <f t="shared" si="7"/>
        <v>40.423760000000001</v>
      </c>
      <c r="AB28" s="21">
        <f t="shared" si="7"/>
        <v>44.253039999999999</v>
      </c>
      <c r="AC28" s="21">
        <f t="shared" si="7"/>
        <v>48.082319999999996</v>
      </c>
      <c r="AD28" s="21">
        <f t="shared" si="7"/>
        <v>51.9116</v>
      </c>
      <c r="AE28" s="21">
        <f t="shared" si="7"/>
        <v>55.74087999999999</v>
      </c>
      <c r="AF28" s="21">
        <f t="shared" si="7"/>
        <v>59.570159999999994</v>
      </c>
      <c r="AG28" s="21">
        <f t="shared" si="7"/>
        <v>63.399439999999998</v>
      </c>
      <c r="AH28" s="21">
        <f t="shared" si="7"/>
        <v>67.228719999999996</v>
      </c>
      <c r="AI28" s="21">
        <f t="shared" si="7"/>
        <v>71.057999999999993</v>
      </c>
      <c r="AJ28" s="21">
        <f t="shared" si="7"/>
        <v>74.88727999999999</v>
      </c>
      <c r="AK28" s="21">
        <f t="shared" si="7"/>
        <v>78.716560000000001</v>
      </c>
    </row>
    <row r="29" spans="1:57">
      <c r="F29" s="23">
        <v>25000</v>
      </c>
      <c r="G29" s="21">
        <f>((((500*G$30 -32500)/$F29)+0.804)*100)/3.682</f>
        <v>-8.0391091797935914</v>
      </c>
      <c r="H29" s="21">
        <f t="shared" si="6"/>
        <v>-5.3231939163498083</v>
      </c>
      <c r="I29" s="21">
        <f t="shared" si="6"/>
        <v>-2.6072786529060288</v>
      </c>
      <c r="J29" s="21">
        <f t="shared" si="6"/>
        <v>0.10863661053775132</v>
      </c>
      <c r="K29" s="21">
        <f t="shared" si="6"/>
        <v>2.8245518739815343</v>
      </c>
      <c r="L29" s="21">
        <f t="shared" si="6"/>
        <v>5.5404671374253143</v>
      </c>
      <c r="M29" s="21">
        <f t="shared" si="6"/>
        <v>8.2563824008690947</v>
      </c>
      <c r="N29" s="21">
        <f t="shared" si="6"/>
        <v>10.972297664312876</v>
      </c>
      <c r="O29" s="21">
        <f t="shared" si="6"/>
        <v>13.688212927756654</v>
      </c>
      <c r="P29" s="21">
        <f t="shared" si="6"/>
        <v>16.404128191200435</v>
      </c>
      <c r="Q29" s="21">
        <f t="shared" si="6"/>
        <v>19.120043454644218</v>
      </c>
      <c r="R29" s="21">
        <f t="shared" si="6"/>
        <v>21.835958718087998</v>
      </c>
      <c r="S29" s="21">
        <f t="shared" si="6"/>
        <v>24.551873981531777</v>
      </c>
      <c r="T29" s="21">
        <f t="shared" si="6"/>
        <v>27.26778924497556</v>
      </c>
      <c r="U29" s="21">
        <f t="shared" si="6"/>
        <v>29.98370450841934</v>
      </c>
      <c r="V29" s="21">
        <f t="shared" si="6"/>
        <v>32.699619771863127</v>
      </c>
      <c r="W29" s="21">
        <f t="shared" si="6"/>
        <v>35.415535035306903</v>
      </c>
      <c r="Y29" s="23">
        <v>25000</v>
      </c>
      <c r="Z29" s="21">
        <f>(($Y29*(0.03682*Z$30-0.804))/500)+65</f>
        <v>37.686999999999998</v>
      </c>
      <c r="AA29" s="21">
        <f t="shared" ref="AA29:AK29" si="9">(($Y29*(0.03682*AA$30-0.804))/500)+65</f>
        <v>41.369</v>
      </c>
      <c r="AB29" s="21">
        <f t="shared" si="9"/>
        <v>45.050999999999995</v>
      </c>
      <c r="AC29" s="21">
        <f t="shared" si="9"/>
        <v>48.732999999999997</v>
      </c>
      <c r="AD29" s="21">
        <f t="shared" si="9"/>
        <v>52.414999999999999</v>
      </c>
      <c r="AE29" s="21">
        <f t="shared" si="9"/>
        <v>56.096999999999994</v>
      </c>
      <c r="AF29" s="21">
        <f t="shared" si="9"/>
        <v>59.778999999999996</v>
      </c>
      <c r="AG29" s="21">
        <f t="shared" si="9"/>
        <v>63.460999999999999</v>
      </c>
      <c r="AH29" s="21">
        <f t="shared" si="9"/>
        <v>67.143000000000001</v>
      </c>
      <c r="AI29" s="21">
        <f t="shared" si="9"/>
        <v>70.825000000000003</v>
      </c>
      <c r="AJ29" s="21">
        <f t="shared" si="9"/>
        <v>74.506999999999991</v>
      </c>
      <c r="AK29" s="21">
        <f t="shared" si="9"/>
        <v>78.188999999999993</v>
      </c>
    </row>
    <row r="30" spans="1:57">
      <c r="F30" s="31" t="s">
        <v>16</v>
      </c>
      <c r="G30" s="23">
        <v>10</v>
      </c>
      <c r="H30" s="23">
        <v>15</v>
      </c>
      <c r="I30" s="23">
        <v>20</v>
      </c>
      <c r="J30" s="23">
        <v>25</v>
      </c>
      <c r="K30" s="23">
        <v>30</v>
      </c>
      <c r="L30" s="23">
        <v>35</v>
      </c>
      <c r="M30" s="23">
        <v>40</v>
      </c>
      <c r="N30" s="23">
        <v>45</v>
      </c>
      <c r="O30" s="23">
        <v>50</v>
      </c>
      <c r="P30" s="23">
        <v>55</v>
      </c>
      <c r="Q30" s="23">
        <v>60</v>
      </c>
      <c r="R30" s="23">
        <v>65</v>
      </c>
      <c r="S30" s="23">
        <v>70</v>
      </c>
      <c r="T30" s="23">
        <v>75</v>
      </c>
      <c r="U30" s="23">
        <v>80</v>
      </c>
      <c r="V30" s="23">
        <v>85</v>
      </c>
      <c r="W30" s="23">
        <v>90</v>
      </c>
      <c r="Y30" s="31" t="s">
        <v>84</v>
      </c>
      <c r="Z30" s="23">
        <v>7</v>
      </c>
      <c r="AA30" s="23">
        <v>9</v>
      </c>
      <c r="AB30" s="23">
        <v>11</v>
      </c>
      <c r="AC30" s="23">
        <v>13</v>
      </c>
      <c r="AD30" s="23">
        <v>15</v>
      </c>
      <c r="AE30" s="23">
        <v>17</v>
      </c>
      <c r="AF30" s="23">
        <v>19</v>
      </c>
      <c r="AG30" s="23">
        <v>21</v>
      </c>
      <c r="AH30" s="23">
        <v>23</v>
      </c>
      <c r="AI30" s="23">
        <v>25</v>
      </c>
      <c r="AJ30" s="23">
        <v>27</v>
      </c>
      <c r="AK30" s="23">
        <v>29</v>
      </c>
    </row>
    <row r="31" spans="1:57">
      <c r="A31" t="s">
        <v>86</v>
      </c>
      <c r="B31" s="30">
        <v>29.494839800000001</v>
      </c>
      <c r="AN31" t="s">
        <v>88</v>
      </c>
      <c r="AY31" t="s">
        <v>89</v>
      </c>
    </row>
    <row r="32" spans="1:57">
      <c r="A32" t="s">
        <v>16</v>
      </c>
      <c r="B32" s="30">
        <v>80.908748000000003</v>
      </c>
      <c r="AN32">
        <f>((AN33*(0.03682*AN34-0.804))/500)+65</f>
        <v>23.626639999999995</v>
      </c>
      <c r="AO32">
        <f t="shared" ref="AO32" si="10">((AO33*(0.03682*AO34-0.804))/500)+65</f>
        <v>1.8366703999999956</v>
      </c>
      <c r="AP32">
        <f t="shared" ref="AP32:AV32" si="11">((AP33*(0.03682*AP34-0.804))/500)+65</f>
        <v>9.3054255999999853</v>
      </c>
      <c r="AQ32">
        <f t="shared" si="11"/>
        <v>93.758723199999991</v>
      </c>
      <c r="AR32">
        <f t="shared" si="11"/>
        <v>96.717479999999981</v>
      </c>
      <c r="AS32">
        <f t="shared" si="11"/>
        <v>89.969079999999991</v>
      </c>
      <c r="AT32">
        <f t="shared" si="11"/>
        <v>72.348767999999993</v>
      </c>
      <c r="AU32">
        <f t="shared" si="11"/>
        <v>50.904799999999994</v>
      </c>
      <c r="AV32">
        <f t="shared" si="11"/>
        <v>23.626639999999995</v>
      </c>
      <c r="AY32">
        <f t="shared" ref="AY32:BE32" si="12">((AY33*(0.03682*AY34-0.804))/500)+65</f>
        <v>28.26596</v>
      </c>
      <c r="AZ32">
        <f t="shared" si="12"/>
        <v>57.535791999999987</v>
      </c>
      <c r="BA32">
        <f t="shared" si="12"/>
        <v>65.363607999999999</v>
      </c>
      <c r="BB32">
        <f t="shared" si="12"/>
        <v>72.129800000000003</v>
      </c>
      <c r="BC32">
        <f t="shared" si="12"/>
        <v>68.224927999999991</v>
      </c>
      <c r="BD32">
        <f t="shared" si="12"/>
        <v>55.028639999999996</v>
      </c>
      <c r="BE32">
        <f t="shared" si="12"/>
        <v>28.26596</v>
      </c>
    </row>
    <row r="33" spans="1:57">
      <c r="AN33">
        <v>31500</v>
      </c>
      <c r="AO33">
        <v>48090</v>
      </c>
      <c r="AP33">
        <v>50300</v>
      </c>
      <c r="AQ33">
        <v>50300</v>
      </c>
      <c r="AR33">
        <v>47000</v>
      </c>
      <c r="AS33">
        <v>37000</v>
      </c>
      <c r="AT33">
        <v>28000</v>
      </c>
      <c r="AU33">
        <v>28000</v>
      </c>
      <c r="AV33">
        <v>31500</v>
      </c>
      <c r="AY33">
        <v>31500</v>
      </c>
      <c r="AZ33">
        <v>29500</v>
      </c>
      <c r="BA33">
        <v>30100</v>
      </c>
      <c r="BB33">
        <v>30600</v>
      </c>
      <c r="BC33">
        <v>28000</v>
      </c>
      <c r="BD33">
        <v>28000</v>
      </c>
      <c r="BE33">
        <v>31500</v>
      </c>
    </row>
    <row r="34" spans="1:57">
      <c r="A34" t="s">
        <v>83</v>
      </c>
      <c r="B34" s="22">
        <f>((B32-65)*500)/((0.03682*B31)-0.804)</f>
        <v>28206.99985636436</v>
      </c>
      <c r="AN34">
        <v>4</v>
      </c>
      <c r="AO34">
        <v>4</v>
      </c>
      <c r="AP34">
        <v>6.8</v>
      </c>
      <c r="AQ34">
        <v>29.6</v>
      </c>
      <c r="AR34">
        <v>31</v>
      </c>
      <c r="AS34">
        <v>31</v>
      </c>
      <c r="AT34">
        <v>25.4</v>
      </c>
      <c r="AU34">
        <v>15</v>
      </c>
      <c r="AV34">
        <v>4</v>
      </c>
      <c r="AY34">
        <v>6</v>
      </c>
      <c r="AZ34">
        <v>18.399999999999999</v>
      </c>
      <c r="BA34">
        <v>22</v>
      </c>
      <c r="BB34">
        <v>25</v>
      </c>
      <c r="BC34">
        <v>23.4</v>
      </c>
      <c r="BD34">
        <v>17</v>
      </c>
      <c r="BE34">
        <v>6</v>
      </c>
    </row>
    <row r="36" spans="1:57">
      <c r="AY36" t="s">
        <v>90</v>
      </c>
    </row>
    <row r="37" spans="1:57">
      <c r="A37" t="s">
        <v>86</v>
      </c>
      <c r="B37" s="30">
        <v>29.494839800000001</v>
      </c>
      <c r="AY37">
        <f>((AY38*(0.03682*AY39-0.804))/500)+65</f>
        <v>65.363607999999999</v>
      </c>
      <c r="AZ37">
        <f>((AZ38*(0.03682*AZ39-0.804))/500)+65</f>
        <v>86.313423999999998</v>
      </c>
      <c r="BA37">
        <f>((BA38*(0.03682*BA39-0.804))/500)+65</f>
        <v>84.519719999999992</v>
      </c>
      <c r="BB37">
        <f>((BB38*(0.03682*BB39-0.804))/500)+65</f>
        <v>72.129800000000003</v>
      </c>
      <c r="BC37">
        <f>((BC38*(0.03682*BC39-0.804))/500)+65</f>
        <v>65.363607999999999</v>
      </c>
    </row>
    <row r="38" spans="1:57">
      <c r="A38" t="s">
        <v>83</v>
      </c>
      <c r="B38" s="30">
        <v>28207</v>
      </c>
      <c r="AY38">
        <v>30100</v>
      </c>
      <c r="AZ38">
        <v>40400</v>
      </c>
      <c r="BA38">
        <v>37000</v>
      </c>
      <c r="BB38">
        <v>30600</v>
      </c>
      <c r="BC38">
        <v>30100</v>
      </c>
    </row>
    <row r="39" spans="1:57">
      <c r="AY39">
        <v>22</v>
      </c>
      <c r="AZ39">
        <v>29</v>
      </c>
      <c r="BA39">
        <v>29</v>
      </c>
      <c r="BB39">
        <v>25</v>
      </c>
      <c r="BC39">
        <v>22</v>
      </c>
    </row>
    <row r="40" spans="1:57">
      <c r="A40" t="s">
        <v>16</v>
      </c>
      <c r="B40">
        <f>((B38*(0.03682*B37-0.804))/500)+65</f>
        <v>80.908748081010501</v>
      </c>
      <c r="AN40" t="s">
        <v>87</v>
      </c>
    </row>
    <row r="41" spans="1:57">
      <c r="AN41">
        <f t="shared" ref="AN41:AX41" si="13">((AN42*(0.03682*AN43-0.804))/500)+65</f>
        <v>28.26596</v>
      </c>
      <c r="AO41">
        <f t="shared" si="13"/>
        <v>8.919365599999999</v>
      </c>
      <c r="AP41">
        <f t="shared" si="13"/>
        <v>16.713609599999998</v>
      </c>
      <c r="AQ41">
        <f t="shared" si="13"/>
        <v>86.3505392</v>
      </c>
      <c r="AR41">
        <f t="shared" si="13"/>
        <v>89.79531999999999</v>
      </c>
      <c r="AS41">
        <f t="shared" si="13"/>
        <v>86.313423999999998</v>
      </c>
      <c r="AT41">
        <f t="shared" si="13"/>
        <v>84.519719999999992</v>
      </c>
      <c r="AU41">
        <f t="shared" si="13"/>
        <v>72.129800000000003</v>
      </c>
      <c r="AV41">
        <f t="shared" si="13"/>
        <v>68.224927999999991</v>
      </c>
      <c r="AW41">
        <f t="shared" si="13"/>
        <v>55.028639999999996</v>
      </c>
      <c r="AX41">
        <f t="shared" si="13"/>
        <v>28.26596</v>
      </c>
    </row>
    <row r="42" spans="1:57">
      <c r="AN42">
        <v>31500</v>
      </c>
      <c r="AO42">
        <v>48090</v>
      </c>
      <c r="AP42">
        <v>50300</v>
      </c>
      <c r="AQ42">
        <v>50300</v>
      </c>
      <c r="AR42">
        <v>47000</v>
      </c>
      <c r="AS42">
        <v>40400</v>
      </c>
      <c r="AT42">
        <v>37000</v>
      </c>
      <c r="AU42">
        <v>30600</v>
      </c>
      <c r="AV42">
        <v>28000</v>
      </c>
      <c r="AW42">
        <v>28000</v>
      </c>
      <c r="AX42">
        <v>31500</v>
      </c>
    </row>
    <row r="43" spans="1:57">
      <c r="AN43">
        <v>6</v>
      </c>
      <c r="AO43">
        <v>6</v>
      </c>
      <c r="AP43">
        <v>8.8000000000000007</v>
      </c>
      <c r="AQ43">
        <v>27.6</v>
      </c>
      <c r="AR43">
        <v>29</v>
      </c>
      <c r="AS43">
        <v>29</v>
      </c>
      <c r="AT43">
        <v>29</v>
      </c>
      <c r="AU43">
        <v>25</v>
      </c>
      <c r="AV43">
        <v>23.4</v>
      </c>
      <c r="AW43">
        <v>17</v>
      </c>
      <c r="AX43">
        <v>6</v>
      </c>
    </row>
  </sheetData>
  <conditionalFormatting sqref="G3:W3">
    <cfRule type="cellIs" dxfId="4" priority="5" operator="lessThan">
      <formula>0</formula>
    </cfRule>
  </conditionalFormatting>
  <conditionalFormatting sqref="G3:W29">
    <cfRule type="cellIs" dxfId="3" priority="1" operator="greaterThan">
      <formula>25</formula>
    </cfRule>
    <cfRule type="cellIs" dxfId="2" priority="2" operator="between">
      <formula>11</formula>
      <formula>25</formula>
    </cfRule>
    <cfRule type="cellIs" dxfId="1" priority="3" operator="between">
      <formula>0</formula>
      <formula>11</formula>
    </cfRule>
    <cfRule type="cellIs" dxfId="0" priority="4" operator="lessThan">
      <formula>0</formula>
    </cfRule>
  </conditionalFormatting>
  <pageMargins left="0.7" right="0.7" top="0.78740157499999996" bottom="0.78740157499999996" header="0.3" footer="0.3"/>
  <pageSetup paperSize="9" orientation="portrait" horizontalDpi="30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0D11D-A23C-44BB-B925-02793DEEA472}">
  <sheetPr codeName="tblEnvelope"/>
  <dimension ref="A1:AE107"/>
  <sheetViews>
    <sheetView showGridLines="0" topLeftCell="A81" zoomScale="80" zoomScaleNormal="80" workbookViewId="0">
      <selection activeCell="S2" sqref="S2:X35"/>
    </sheetView>
  </sheetViews>
  <sheetFormatPr baseColWidth="10" defaultColWidth="10.7109375" defaultRowHeight="15"/>
  <cols>
    <col min="1" max="1" width="8.28515625" style="70" customWidth="1"/>
    <col min="2" max="2" width="5.5703125" style="70" customWidth="1"/>
  </cols>
  <sheetData>
    <row r="1" spans="1:31">
      <c r="A1" s="332" t="s">
        <v>154</v>
      </c>
      <c r="B1" s="332"/>
    </row>
    <row r="2" spans="1:31" ht="19.5" customHeight="1">
      <c r="A2" s="70">
        <v>32700</v>
      </c>
      <c r="B2" s="70">
        <v>46.9</v>
      </c>
      <c r="S2" s="336" t="s">
        <v>256</v>
      </c>
      <c r="T2" s="336"/>
      <c r="U2" s="336"/>
      <c r="V2" s="336"/>
      <c r="W2" s="336"/>
      <c r="X2" s="336"/>
      <c r="Z2" s="336" t="s">
        <v>239</v>
      </c>
      <c r="AA2" s="336"/>
      <c r="AB2" s="336"/>
      <c r="AC2" s="336"/>
      <c r="AD2" s="336"/>
      <c r="AE2" s="336"/>
    </row>
    <row r="3" spans="1:31">
      <c r="A3" s="70">
        <v>37200</v>
      </c>
      <c r="B3" s="70">
        <v>36.1</v>
      </c>
      <c r="S3" s="336"/>
      <c r="T3" s="336"/>
      <c r="U3" s="336"/>
      <c r="V3" s="336"/>
      <c r="W3" s="336"/>
      <c r="X3" s="336"/>
      <c r="Z3" s="336"/>
      <c r="AA3" s="336"/>
      <c r="AB3" s="336"/>
      <c r="AC3" s="336"/>
      <c r="AD3" s="336"/>
      <c r="AE3" s="336"/>
    </row>
    <row r="4" spans="1:31">
      <c r="A4" s="70">
        <v>54000</v>
      </c>
      <c r="B4" s="70">
        <v>24.9</v>
      </c>
      <c r="S4" s="336"/>
      <c r="T4" s="336"/>
      <c r="U4" s="336"/>
      <c r="V4" s="336"/>
      <c r="W4" s="336"/>
      <c r="X4" s="336"/>
      <c r="Z4" s="336"/>
      <c r="AA4" s="336"/>
      <c r="AB4" s="336"/>
      <c r="AC4" s="336"/>
      <c r="AD4" s="336"/>
      <c r="AE4" s="336"/>
    </row>
    <row r="5" spans="1:31">
      <c r="A5" s="70">
        <v>54000</v>
      </c>
      <c r="B5" s="70">
        <v>77.2</v>
      </c>
      <c r="S5" s="336"/>
      <c r="T5" s="336"/>
      <c r="U5" s="336"/>
      <c r="V5" s="336"/>
      <c r="W5" s="336"/>
      <c r="X5" s="336"/>
      <c r="Z5" s="336"/>
      <c r="AA5" s="336"/>
      <c r="AB5" s="336"/>
      <c r="AC5" s="336"/>
      <c r="AD5" s="336"/>
      <c r="AE5" s="336"/>
    </row>
    <row r="6" spans="1:31" ht="15.75" thickBot="1">
      <c r="S6" s="336"/>
      <c r="T6" s="336"/>
      <c r="U6" s="336"/>
      <c r="V6" s="336"/>
      <c r="W6" s="336"/>
      <c r="X6" s="336"/>
      <c r="Z6" s="336"/>
      <c r="AA6" s="336"/>
      <c r="AB6" s="336"/>
      <c r="AC6" s="336"/>
      <c r="AD6" s="336"/>
      <c r="AE6" s="336"/>
    </row>
    <row r="7" spans="1:31">
      <c r="A7" s="332" t="s">
        <v>155</v>
      </c>
      <c r="B7" s="332"/>
      <c r="D7" s="89"/>
      <c r="E7" s="90"/>
      <c r="F7" s="90"/>
      <c r="G7" s="91"/>
      <c r="S7" s="336"/>
      <c r="T7" s="336"/>
      <c r="U7" s="336"/>
      <c r="V7" s="336"/>
      <c r="W7" s="336"/>
      <c r="X7" s="336"/>
      <c r="Z7" s="336"/>
      <c r="AA7" s="336"/>
      <c r="AB7" s="336"/>
      <c r="AC7" s="336"/>
      <c r="AD7" s="336"/>
      <c r="AE7" s="336"/>
    </row>
    <row r="8" spans="1:31">
      <c r="A8" s="70">
        <v>32700</v>
      </c>
      <c r="B8" s="70">
        <v>46.9</v>
      </c>
      <c r="D8" s="96" t="s">
        <v>167</v>
      </c>
      <c r="E8" s="23" t="s">
        <v>138</v>
      </c>
      <c r="F8" s="23" t="s">
        <v>16</v>
      </c>
      <c r="G8" s="92"/>
      <c r="S8" s="336"/>
      <c r="T8" s="336"/>
      <c r="U8" s="336"/>
      <c r="V8" s="336"/>
      <c r="W8" s="336"/>
      <c r="X8" s="336"/>
      <c r="Z8" s="336"/>
      <c r="AA8" s="336"/>
      <c r="AB8" s="336"/>
      <c r="AC8" s="336"/>
      <c r="AD8" s="336"/>
      <c r="AE8" s="336"/>
    </row>
    <row r="9" spans="1:31">
      <c r="A9" s="70">
        <v>32700</v>
      </c>
      <c r="B9" s="70">
        <v>58.6</v>
      </c>
      <c r="D9" s="97" t="s">
        <v>168</v>
      </c>
      <c r="E9">
        <f>'Loadsheet OCC'!V27</f>
        <v>35218</v>
      </c>
      <c r="F9" s="6">
        <f>'Loadsheet OCC'!AT27</f>
        <v>42.436799999999998</v>
      </c>
      <c r="G9" s="92"/>
      <c r="S9" s="336"/>
      <c r="T9" s="336"/>
      <c r="U9" s="336"/>
      <c r="V9" s="336"/>
      <c r="W9" s="336"/>
      <c r="X9" s="336"/>
      <c r="Z9" s="336"/>
      <c r="AA9" s="336"/>
      <c r="AB9" s="336"/>
      <c r="AC9" s="336"/>
      <c r="AD9" s="336"/>
      <c r="AE9" s="336"/>
    </row>
    <row r="10" spans="1:31">
      <c r="A10" s="70">
        <v>36177</v>
      </c>
      <c r="B10" s="70">
        <v>69.7</v>
      </c>
      <c r="D10" s="97" t="s">
        <v>153</v>
      </c>
      <c r="E10">
        <f>'Loadsheet OCC'!V36</f>
        <v>41518</v>
      </c>
      <c r="F10" s="6">
        <f>'Loadsheet OCC'!AT36</f>
        <v>38.699599999999997</v>
      </c>
      <c r="G10" s="92"/>
      <c r="S10" s="336"/>
      <c r="T10" s="336"/>
      <c r="U10" s="336"/>
      <c r="V10" s="336"/>
      <c r="W10" s="336"/>
      <c r="X10" s="336"/>
      <c r="Z10" s="336"/>
      <c r="AA10" s="336"/>
      <c r="AB10" s="336"/>
      <c r="AC10" s="336"/>
      <c r="AD10" s="336"/>
      <c r="AE10" s="336"/>
    </row>
    <row r="11" spans="1:31">
      <c r="A11" s="70">
        <v>49050</v>
      </c>
      <c r="B11" s="70">
        <v>90.8</v>
      </c>
      <c r="D11" s="97" t="s">
        <v>158</v>
      </c>
      <c r="E11">
        <f>'Loadsheet OCC'!V42</f>
        <v>38533</v>
      </c>
      <c r="F11" s="6">
        <f>'Loadsheet OCC'!AT42</f>
        <v>38.875839999999997</v>
      </c>
      <c r="G11" s="92"/>
      <c r="S11" s="336"/>
      <c r="T11" s="336"/>
      <c r="U11" s="336"/>
      <c r="V11" s="336"/>
      <c r="W11" s="336"/>
      <c r="X11" s="336"/>
      <c r="Z11" s="336"/>
      <c r="AA11" s="336"/>
      <c r="AB11" s="336"/>
      <c r="AC11" s="336"/>
      <c r="AD11" s="336"/>
      <c r="AE11" s="336"/>
    </row>
    <row r="12" spans="1:31">
      <c r="A12" s="70">
        <v>54000</v>
      </c>
      <c r="B12" s="70">
        <v>77.2</v>
      </c>
      <c r="D12" s="46"/>
      <c r="G12" s="92"/>
      <c r="S12" s="336"/>
      <c r="T12" s="336"/>
      <c r="U12" s="336"/>
      <c r="V12" s="336"/>
      <c r="W12" s="336"/>
      <c r="X12" s="336"/>
      <c r="Z12" s="336"/>
      <c r="AA12" s="336"/>
      <c r="AB12" s="336"/>
      <c r="AC12" s="336"/>
      <c r="AD12" s="336"/>
      <c r="AE12" s="336"/>
    </row>
    <row r="13" spans="1:31">
      <c r="D13" s="96" t="s">
        <v>169</v>
      </c>
      <c r="G13" s="92"/>
      <c r="S13" s="336"/>
      <c r="T13" s="336"/>
      <c r="U13" s="336"/>
      <c r="V13" s="336"/>
      <c r="W13" s="336"/>
      <c r="X13" s="336"/>
      <c r="Z13" s="336"/>
      <c r="AA13" s="336"/>
      <c r="AB13" s="336"/>
      <c r="AC13" s="336"/>
      <c r="AD13" s="336"/>
      <c r="AE13" s="336"/>
    </row>
    <row r="14" spans="1:31">
      <c r="A14" s="70" t="s">
        <v>156</v>
      </c>
      <c r="D14" s="46"/>
      <c r="G14" s="92"/>
      <c r="S14" s="336"/>
      <c r="T14" s="336"/>
      <c r="U14" s="336"/>
      <c r="V14" s="336"/>
      <c r="W14" s="336"/>
      <c r="X14" s="336"/>
      <c r="Z14" s="336"/>
      <c r="AA14" s="336"/>
      <c r="AB14" s="336"/>
      <c r="AC14" s="336"/>
      <c r="AD14" s="336"/>
      <c r="AE14" s="336"/>
    </row>
    <row r="15" spans="1:31">
      <c r="A15" s="70">
        <v>32700</v>
      </c>
      <c r="B15" s="70">
        <v>46.9</v>
      </c>
      <c r="D15" s="46"/>
      <c r="F15" s="333" t="s">
        <v>234</v>
      </c>
      <c r="G15" s="334"/>
      <c r="S15" s="336"/>
      <c r="T15" s="336"/>
      <c r="U15" s="336"/>
      <c r="V15" s="336"/>
      <c r="W15" s="336"/>
      <c r="X15" s="336"/>
      <c r="Z15" s="336"/>
      <c r="AA15" s="336"/>
      <c r="AB15" s="336"/>
      <c r="AC15" s="336"/>
      <c r="AD15" s="336"/>
      <c r="AE15" s="336"/>
    </row>
    <row r="16" spans="1:31">
      <c r="A16" s="70">
        <v>37200</v>
      </c>
      <c r="B16" s="70">
        <v>36.1</v>
      </c>
      <c r="D16" s="46"/>
      <c r="F16" s="335"/>
      <c r="G16" s="334"/>
      <c r="S16" s="336"/>
      <c r="T16" s="336"/>
      <c r="U16" s="336"/>
      <c r="V16" s="336"/>
      <c r="W16" s="336"/>
      <c r="X16" s="336"/>
      <c r="Z16" s="336"/>
      <c r="AA16" s="336"/>
      <c r="AB16" s="336"/>
      <c r="AC16" s="336"/>
      <c r="AD16" s="336"/>
      <c r="AE16" s="336"/>
    </row>
    <row r="17" spans="1:31">
      <c r="A17" s="70">
        <v>54000</v>
      </c>
      <c r="B17" s="70">
        <v>24.9</v>
      </c>
      <c r="D17" s="46"/>
      <c r="F17" s="335"/>
      <c r="G17" s="334"/>
      <c r="S17" s="336"/>
      <c r="T17" s="336"/>
      <c r="U17" s="336"/>
      <c r="V17" s="336"/>
      <c r="W17" s="336"/>
      <c r="X17" s="336"/>
      <c r="Z17" s="336"/>
      <c r="AA17" s="336"/>
      <c r="AB17" s="336"/>
      <c r="AC17" s="336"/>
      <c r="AD17" s="336"/>
      <c r="AE17" s="336"/>
    </row>
    <row r="18" spans="1:31">
      <c r="A18" s="70">
        <v>54000</v>
      </c>
      <c r="B18" s="70">
        <v>77.2</v>
      </c>
      <c r="D18" s="46"/>
      <c r="F18" s="335"/>
      <c r="G18" s="334"/>
      <c r="S18" s="336"/>
      <c r="T18" s="336"/>
      <c r="U18" s="336"/>
      <c r="V18" s="336"/>
      <c r="W18" s="336"/>
      <c r="X18" s="336"/>
      <c r="Z18" s="336"/>
      <c r="AA18" s="336"/>
      <c r="AB18" s="336"/>
      <c r="AC18" s="336"/>
      <c r="AD18" s="336"/>
      <c r="AE18" s="336"/>
    </row>
    <row r="19" spans="1:31">
      <c r="D19" s="46"/>
      <c r="F19" s="335"/>
      <c r="G19" s="334"/>
      <c r="S19" s="336"/>
      <c r="T19" s="336"/>
      <c r="U19" s="336"/>
      <c r="V19" s="336"/>
      <c r="W19" s="336"/>
      <c r="X19" s="336"/>
      <c r="Z19" s="336"/>
      <c r="AA19" s="336"/>
      <c r="AB19" s="336"/>
      <c r="AC19" s="336"/>
      <c r="AD19" s="336"/>
      <c r="AE19" s="336"/>
    </row>
    <row r="20" spans="1:31">
      <c r="A20" s="70" t="s">
        <v>157</v>
      </c>
      <c r="D20" s="46"/>
      <c r="F20" s="335"/>
      <c r="G20" s="334"/>
      <c r="S20" s="336"/>
      <c r="T20" s="336"/>
      <c r="U20" s="336"/>
      <c r="V20" s="336"/>
      <c r="W20" s="336"/>
      <c r="X20" s="336"/>
      <c r="Z20" s="336"/>
      <c r="AA20" s="336"/>
      <c r="AB20" s="336"/>
      <c r="AC20" s="336"/>
      <c r="AD20" s="336"/>
      <c r="AE20" s="336"/>
    </row>
    <row r="21" spans="1:31">
      <c r="A21" s="70">
        <v>32700</v>
      </c>
      <c r="B21" s="70">
        <v>46.9</v>
      </c>
      <c r="D21" s="46"/>
      <c r="F21" s="335"/>
      <c r="G21" s="334"/>
      <c r="S21" s="336"/>
      <c r="T21" s="336"/>
      <c r="U21" s="336"/>
      <c r="V21" s="336"/>
      <c r="W21" s="336"/>
      <c r="X21" s="336"/>
      <c r="Z21" s="336"/>
      <c r="AA21" s="336"/>
      <c r="AB21" s="336"/>
      <c r="AC21" s="336"/>
      <c r="AD21" s="336"/>
      <c r="AE21" s="336"/>
    </row>
    <row r="22" spans="1:31">
      <c r="A22" s="70">
        <v>32700</v>
      </c>
      <c r="B22" s="70">
        <v>58.6</v>
      </c>
      <c r="D22" s="46"/>
      <c r="F22" s="335"/>
      <c r="G22" s="334"/>
      <c r="S22" s="336"/>
      <c r="T22" s="336"/>
      <c r="U22" s="336"/>
      <c r="V22" s="336"/>
      <c r="W22" s="336"/>
      <c r="X22" s="336"/>
      <c r="Z22" s="336"/>
      <c r="AA22" s="336"/>
      <c r="AB22" s="336"/>
      <c r="AC22" s="336"/>
      <c r="AD22" s="336"/>
      <c r="AE22" s="336"/>
    </row>
    <row r="23" spans="1:31">
      <c r="A23" s="70">
        <v>36177</v>
      </c>
      <c r="B23" s="70">
        <v>69.7</v>
      </c>
      <c r="D23" s="46"/>
      <c r="F23" s="335"/>
      <c r="G23" s="334"/>
      <c r="S23" s="336"/>
      <c r="T23" s="336"/>
      <c r="U23" s="336"/>
      <c r="V23" s="336"/>
      <c r="W23" s="336"/>
      <c r="X23" s="336"/>
      <c r="Z23" s="336"/>
      <c r="AA23" s="336"/>
      <c r="AB23" s="336"/>
      <c r="AC23" s="336"/>
      <c r="AD23" s="336"/>
      <c r="AE23" s="336"/>
    </row>
    <row r="24" spans="1:31">
      <c r="A24" s="70">
        <v>40300</v>
      </c>
      <c r="B24" s="70">
        <v>83</v>
      </c>
      <c r="D24" s="46"/>
      <c r="F24" s="335"/>
      <c r="G24" s="334"/>
      <c r="S24" s="336"/>
      <c r="T24" s="336"/>
      <c r="U24" s="336"/>
      <c r="V24" s="336"/>
      <c r="W24" s="336"/>
      <c r="X24" s="336"/>
      <c r="Z24" s="336"/>
      <c r="AA24" s="336"/>
      <c r="AB24" s="336"/>
      <c r="AC24" s="336"/>
      <c r="AD24" s="336"/>
      <c r="AE24" s="336"/>
    </row>
    <row r="25" spans="1:31">
      <c r="A25" s="70">
        <v>49050</v>
      </c>
      <c r="B25" s="70">
        <v>90.8</v>
      </c>
      <c r="D25" s="46"/>
      <c r="F25" s="335"/>
      <c r="G25" s="334"/>
      <c r="S25" s="336"/>
      <c r="T25" s="336"/>
      <c r="U25" s="336"/>
      <c r="V25" s="336"/>
      <c r="W25" s="336"/>
      <c r="X25" s="336"/>
      <c r="Z25" s="336"/>
      <c r="AA25" s="336"/>
      <c r="AB25" s="336"/>
      <c r="AC25" s="336"/>
      <c r="AD25" s="336"/>
      <c r="AE25" s="336"/>
    </row>
    <row r="26" spans="1:31">
      <c r="A26" s="70">
        <v>54000</v>
      </c>
      <c r="B26" s="70">
        <v>77.2</v>
      </c>
      <c r="D26" s="46"/>
      <c r="F26" s="335"/>
      <c r="G26" s="334"/>
      <c r="S26" s="336"/>
      <c r="T26" s="336"/>
      <c r="U26" s="336"/>
      <c r="V26" s="336"/>
      <c r="W26" s="336"/>
      <c r="X26" s="336"/>
      <c r="Z26" s="336"/>
      <c r="AA26" s="336"/>
      <c r="AB26" s="336"/>
      <c r="AC26" s="336"/>
      <c r="AD26" s="336"/>
      <c r="AE26" s="336"/>
    </row>
    <row r="27" spans="1:31">
      <c r="D27" s="46"/>
      <c r="G27" s="92"/>
      <c r="S27" s="336"/>
      <c r="T27" s="336"/>
      <c r="U27" s="336"/>
      <c r="V27" s="336"/>
      <c r="W27" s="336"/>
      <c r="X27" s="336"/>
      <c r="Z27" s="336"/>
      <c r="AA27" s="336"/>
      <c r="AB27" s="336"/>
      <c r="AC27" s="336"/>
      <c r="AD27" s="336"/>
      <c r="AE27" s="336"/>
    </row>
    <row r="28" spans="1:31" ht="15.75" thickBot="1">
      <c r="A28" s="70" t="s">
        <v>159</v>
      </c>
      <c r="D28" s="93"/>
      <c r="E28" s="94"/>
      <c r="F28" s="94"/>
      <c r="G28" s="95"/>
      <c r="S28" s="336"/>
      <c r="T28" s="336"/>
      <c r="U28" s="336"/>
      <c r="V28" s="336"/>
      <c r="W28" s="336"/>
      <c r="X28" s="336"/>
      <c r="Z28" s="336"/>
      <c r="AA28" s="336"/>
      <c r="AB28" s="336"/>
      <c r="AC28" s="336"/>
      <c r="AD28" s="336"/>
      <c r="AE28" s="336"/>
    </row>
    <row r="29" spans="1:31">
      <c r="A29" s="70">
        <v>32700</v>
      </c>
      <c r="B29" s="70">
        <v>46.9</v>
      </c>
      <c r="S29" s="336"/>
      <c r="T29" s="336"/>
      <c r="U29" s="336"/>
      <c r="V29" s="336"/>
      <c r="W29" s="336"/>
      <c r="X29" s="336"/>
      <c r="Z29" s="336"/>
      <c r="AA29" s="336"/>
      <c r="AB29" s="336"/>
      <c r="AC29" s="336"/>
      <c r="AD29" s="336"/>
      <c r="AE29" s="336"/>
    </row>
    <row r="30" spans="1:31">
      <c r="A30" s="70">
        <v>32700</v>
      </c>
      <c r="B30" s="70">
        <v>36.1</v>
      </c>
      <c r="S30" s="336"/>
      <c r="T30" s="336"/>
      <c r="U30" s="336"/>
      <c r="V30" s="336"/>
      <c r="W30" s="336"/>
      <c r="X30" s="336"/>
      <c r="Z30" s="336"/>
      <c r="AA30" s="336"/>
      <c r="AB30" s="336"/>
      <c r="AC30" s="336"/>
      <c r="AD30" s="336"/>
      <c r="AE30" s="336"/>
    </row>
    <row r="31" spans="1:31">
      <c r="A31" s="70">
        <v>49050</v>
      </c>
      <c r="B31" s="70">
        <v>28.2</v>
      </c>
      <c r="S31" s="336"/>
      <c r="T31" s="336"/>
      <c r="U31" s="336"/>
      <c r="V31" s="336"/>
      <c r="W31" s="336"/>
      <c r="X31" s="336"/>
      <c r="Z31" s="336"/>
      <c r="AA31" s="336"/>
      <c r="AB31" s="336"/>
      <c r="AC31" s="336"/>
      <c r="AD31" s="336"/>
      <c r="AE31" s="336"/>
    </row>
    <row r="32" spans="1:31">
      <c r="A32" s="70">
        <v>49050</v>
      </c>
      <c r="B32" s="70">
        <v>90.8</v>
      </c>
      <c r="S32" s="336"/>
      <c r="T32" s="336"/>
      <c r="U32" s="336"/>
      <c r="V32" s="336"/>
      <c r="W32" s="336"/>
      <c r="X32" s="336"/>
      <c r="Z32" s="336"/>
      <c r="AA32" s="336"/>
      <c r="AB32" s="336"/>
      <c r="AC32" s="336"/>
      <c r="AD32" s="336"/>
      <c r="AE32" s="336"/>
    </row>
    <row r="33" spans="1:31">
      <c r="S33" s="336"/>
      <c r="T33" s="336"/>
      <c r="U33" s="336"/>
      <c r="V33" s="336"/>
      <c r="W33" s="336"/>
      <c r="X33" s="336"/>
      <c r="Z33" s="336"/>
      <c r="AA33" s="336"/>
      <c r="AB33" s="336"/>
      <c r="AC33" s="336"/>
      <c r="AD33" s="336"/>
      <c r="AE33" s="336"/>
    </row>
    <row r="34" spans="1:31">
      <c r="A34" s="70" t="s">
        <v>160</v>
      </c>
      <c r="S34" s="336"/>
      <c r="T34" s="336"/>
      <c r="U34" s="336"/>
      <c r="V34" s="336"/>
      <c r="W34" s="336"/>
      <c r="X34" s="336"/>
      <c r="Z34" s="336"/>
      <c r="AA34" s="336"/>
      <c r="AB34" s="336"/>
      <c r="AC34" s="336"/>
      <c r="AD34" s="336"/>
      <c r="AE34" s="336"/>
    </row>
    <row r="35" spans="1:31">
      <c r="A35" s="70">
        <v>32700</v>
      </c>
      <c r="B35" s="70">
        <v>46.9</v>
      </c>
      <c r="S35" s="336"/>
      <c r="T35" s="336"/>
      <c r="U35" s="336"/>
      <c r="V35" s="336"/>
      <c r="W35" s="336"/>
      <c r="X35" s="336"/>
      <c r="Z35" s="336"/>
      <c r="AA35" s="336"/>
      <c r="AB35" s="336"/>
      <c r="AC35" s="336"/>
      <c r="AD35" s="336"/>
      <c r="AE35" s="336"/>
    </row>
    <row r="36" spans="1:31">
      <c r="A36" s="70">
        <v>32700</v>
      </c>
      <c r="B36" s="70">
        <v>58.6</v>
      </c>
      <c r="Z36" s="336"/>
      <c r="AA36" s="336"/>
      <c r="AB36" s="336"/>
      <c r="AC36" s="336"/>
      <c r="AD36" s="336"/>
      <c r="AE36" s="336"/>
    </row>
    <row r="37" spans="1:31">
      <c r="A37" s="70">
        <v>36177</v>
      </c>
      <c r="B37" s="70">
        <v>69.7</v>
      </c>
      <c r="Z37" s="336"/>
      <c r="AA37" s="336"/>
      <c r="AB37" s="336"/>
      <c r="AC37" s="336"/>
      <c r="AD37" s="336"/>
      <c r="AE37" s="336"/>
    </row>
    <row r="38" spans="1:31">
      <c r="A38" s="70">
        <v>40300</v>
      </c>
      <c r="B38" s="70">
        <v>83</v>
      </c>
      <c r="Z38" s="336"/>
      <c r="AA38" s="336"/>
      <c r="AB38" s="336"/>
      <c r="AC38" s="336"/>
      <c r="AD38" s="336"/>
      <c r="AE38" s="336"/>
    </row>
    <row r="39" spans="1:31">
      <c r="A39" s="70">
        <v>49050</v>
      </c>
      <c r="B39" s="70">
        <v>90.8</v>
      </c>
      <c r="Z39" s="336"/>
      <c r="AA39" s="336"/>
      <c r="AB39" s="336"/>
      <c r="AC39" s="336"/>
      <c r="AD39" s="336"/>
      <c r="AE39" s="336"/>
    </row>
    <row r="40" spans="1:31">
      <c r="Z40" s="336"/>
      <c r="AA40" s="336"/>
      <c r="AB40" s="336"/>
      <c r="AC40" s="336"/>
      <c r="AD40" s="336"/>
      <c r="AE40" s="336"/>
    </row>
    <row r="41" spans="1:31">
      <c r="A41" s="70" t="s">
        <v>161</v>
      </c>
      <c r="Z41" s="336"/>
      <c r="AA41" s="336"/>
      <c r="AB41" s="336"/>
      <c r="AC41" s="336"/>
      <c r="AD41" s="336"/>
      <c r="AE41" s="336"/>
    </row>
    <row r="42" spans="1:31">
      <c r="A42" s="70">
        <v>32700</v>
      </c>
      <c r="B42" s="70">
        <v>46.9</v>
      </c>
      <c r="Z42" s="336"/>
      <c r="AA42" s="336"/>
      <c r="AB42" s="336"/>
      <c r="AC42" s="336"/>
      <c r="AD42" s="336"/>
      <c r="AE42" s="336"/>
    </row>
    <row r="43" spans="1:31">
      <c r="A43" s="70">
        <v>37200</v>
      </c>
      <c r="B43" s="70">
        <v>36.1</v>
      </c>
      <c r="Z43" s="336"/>
      <c r="AA43" s="336"/>
      <c r="AB43" s="336"/>
      <c r="AC43" s="336"/>
      <c r="AD43" s="336"/>
      <c r="AE43" s="336"/>
    </row>
    <row r="44" spans="1:31">
      <c r="A44" s="70">
        <v>46700</v>
      </c>
      <c r="B44" s="70">
        <v>29.8</v>
      </c>
    </row>
    <row r="45" spans="1:31">
      <c r="A45" s="70">
        <v>46700</v>
      </c>
      <c r="B45" s="70">
        <v>88.7</v>
      </c>
    </row>
    <row r="47" spans="1:31">
      <c r="A47" s="70" t="s">
        <v>162</v>
      </c>
    </row>
    <row r="48" spans="1:31">
      <c r="A48" s="70">
        <v>32700</v>
      </c>
      <c r="B48" s="70">
        <v>46.9</v>
      </c>
    </row>
    <row r="49" spans="1:2">
      <c r="A49" s="70">
        <v>32700</v>
      </c>
      <c r="B49" s="70">
        <v>58.6</v>
      </c>
    </row>
    <row r="50" spans="1:2">
      <c r="A50" s="70">
        <v>36177</v>
      </c>
      <c r="B50" s="70">
        <v>69.7</v>
      </c>
    </row>
    <row r="51" spans="1:2">
      <c r="A51" s="70">
        <v>40300</v>
      </c>
      <c r="B51" s="70">
        <v>83</v>
      </c>
    </row>
    <row r="52" spans="1:2">
      <c r="A52" s="70">
        <v>46700</v>
      </c>
      <c r="B52" s="70">
        <v>88.7</v>
      </c>
    </row>
    <row r="54" spans="1:2">
      <c r="A54" s="70" t="s">
        <v>163</v>
      </c>
    </row>
    <row r="55" spans="1:2">
      <c r="A55" s="70">
        <v>32700</v>
      </c>
      <c r="B55" s="70">
        <v>47.6</v>
      </c>
    </row>
    <row r="56" spans="1:2">
      <c r="A56" s="70">
        <v>54000</v>
      </c>
      <c r="B56" s="70">
        <v>44.7</v>
      </c>
    </row>
    <row r="57" spans="1:2">
      <c r="A57" s="70">
        <v>54000</v>
      </c>
      <c r="B57" s="70">
        <v>77.2</v>
      </c>
    </row>
    <row r="61" spans="1:2">
      <c r="A61" s="70" t="s">
        <v>164</v>
      </c>
    </row>
    <row r="62" spans="1:2">
      <c r="A62" s="70">
        <v>32700</v>
      </c>
      <c r="B62" s="70">
        <v>47.6</v>
      </c>
    </row>
    <row r="63" spans="1:2">
      <c r="A63" s="70">
        <v>32700</v>
      </c>
      <c r="B63" s="70">
        <v>58.6</v>
      </c>
    </row>
    <row r="64" spans="1:2">
      <c r="A64" s="70">
        <v>36177</v>
      </c>
      <c r="B64" s="70">
        <v>69.7</v>
      </c>
    </row>
    <row r="65" spans="1:2">
      <c r="A65" s="70">
        <v>49050</v>
      </c>
      <c r="B65" s="70">
        <v>90.8</v>
      </c>
    </row>
    <row r="66" spans="1:2">
      <c r="A66" s="70">
        <v>54000</v>
      </c>
      <c r="B66" s="70">
        <v>77.2</v>
      </c>
    </row>
    <row r="68" spans="1:2">
      <c r="A68" s="70" t="s">
        <v>165</v>
      </c>
    </row>
    <row r="69" spans="1:2">
      <c r="A69" s="70">
        <v>32700</v>
      </c>
      <c r="B69" s="70">
        <v>57.3</v>
      </c>
    </row>
    <row r="70" spans="1:2">
      <c r="A70" s="70">
        <v>54000</v>
      </c>
      <c r="B70" s="70">
        <v>60.7</v>
      </c>
    </row>
    <row r="71" spans="1:2">
      <c r="A71" s="70">
        <v>54000</v>
      </c>
      <c r="B71" s="70">
        <v>77.2</v>
      </c>
    </row>
    <row r="75" spans="1:2">
      <c r="A75" s="70" t="s">
        <v>166</v>
      </c>
    </row>
    <row r="76" spans="1:2">
      <c r="A76" s="70">
        <v>32700</v>
      </c>
      <c r="B76" s="70">
        <v>57.3</v>
      </c>
    </row>
    <row r="77" spans="1:2">
      <c r="A77" s="70">
        <v>32700</v>
      </c>
      <c r="B77" s="70">
        <v>58.6</v>
      </c>
    </row>
    <row r="78" spans="1:2">
      <c r="A78" s="70">
        <v>36177</v>
      </c>
      <c r="B78" s="70">
        <v>69.7</v>
      </c>
    </row>
    <row r="79" spans="1:2">
      <c r="A79" s="70">
        <v>49050</v>
      </c>
      <c r="B79" s="70">
        <v>90.8</v>
      </c>
    </row>
    <row r="80" spans="1:2">
      <c r="A80" s="70">
        <v>54000</v>
      </c>
      <c r="B80" s="70">
        <v>77.2</v>
      </c>
    </row>
    <row r="82" spans="1:6">
      <c r="A82" s="70" t="s">
        <v>170</v>
      </c>
    </row>
    <row r="83" spans="1:6">
      <c r="A83" s="70">
        <v>54000</v>
      </c>
      <c r="B83" s="70">
        <v>15</v>
      </c>
      <c r="C83" t="str">
        <f>CONCATENATE("MTOM ",A83," KG")</f>
        <v>MTOM 54000 KG</v>
      </c>
    </row>
    <row r="84" spans="1:6">
      <c r="A84" s="70">
        <v>54000</v>
      </c>
      <c r="B84" s="70">
        <v>95</v>
      </c>
    </row>
    <row r="85" spans="1:6">
      <c r="A85" s="70">
        <v>49050</v>
      </c>
      <c r="B85" s="70">
        <v>15</v>
      </c>
      <c r="C85" t="str">
        <f>CONCATENATE("MLM ",A85," KG")</f>
        <v>MLM 49050 KG</v>
      </c>
    </row>
    <row r="86" spans="1:6">
      <c r="A86" s="70">
        <v>49050</v>
      </c>
      <c r="B86" s="70">
        <v>95</v>
      </c>
    </row>
    <row r="87" spans="1:6">
      <c r="A87" s="70">
        <v>46700</v>
      </c>
      <c r="B87" s="70">
        <v>15</v>
      </c>
      <c r="C87" t="str">
        <f>CONCATENATE("MZFM ",A87," KG")</f>
        <v>MZFM 46700 KG</v>
      </c>
    </row>
    <row r="88" spans="1:6">
      <c r="A88" s="70">
        <v>46700</v>
      </c>
      <c r="B88" s="70">
        <v>95</v>
      </c>
    </row>
    <row r="90" spans="1:6">
      <c r="A90" s="331" t="s">
        <v>252</v>
      </c>
      <c r="B90" s="331"/>
      <c r="C90" s="331"/>
      <c r="D90" s="331"/>
      <c r="E90" s="331"/>
      <c r="F90" s="331"/>
    </row>
    <row r="91" spans="1:6">
      <c r="A91" s="331" t="s">
        <v>253</v>
      </c>
      <c r="B91" s="331"/>
      <c r="C91" s="331"/>
      <c r="D91" s="331"/>
      <c r="E91" s="331"/>
      <c r="F91" s="331"/>
    </row>
    <row r="92" spans="1:6">
      <c r="A92" s="331" t="s">
        <v>254</v>
      </c>
      <c r="B92" s="331"/>
      <c r="C92" s="331"/>
      <c r="D92" s="331"/>
      <c r="E92" s="331"/>
      <c r="F92" s="331"/>
    </row>
    <row r="95" spans="1:6">
      <c r="A95" s="70" t="s">
        <v>235</v>
      </c>
    </row>
    <row r="96" spans="1:6">
      <c r="A96" s="70">
        <v>32700</v>
      </c>
      <c r="B96" s="70">
        <v>41.8</v>
      </c>
    </row>
    <row r="97" spans="1:2">
      <c r="A97" s="70">
        <v>34357</v>
      </c>
      <c r="B97" s="70">
        <v>38</v>
      </c>
    </row>
    <row r="98" spans="1:2">
      <c r="A98" s="70">
        <v>46700</v>
      </c>
      <c r="B98" s="70">
        <v>29.8</v>
      </c>
    </row>
    <row r="99" spans="1:2">
      <c r="A99" s="70">
        <v>46700</v>
      </c>
      <c r="B99" s="70">
        <v>88.7</v>
      </c>
    </row>
    <row r="102" spans="1:2">
      <c r="A102" s="70" t="s">
        <v>236</v>
      </c>
    </row>
    <row r="103" spans="1:2">
      <c r="A103" s="70">
        <v>32700</v>
      </c>
      <c r="B103" s="70">
        <v>41.8</v>
      </c>
    </row>
    <row r="104" spans="1:2">
      <c r="A104" s="70">
        <v>32700</v>
      </c>
      <c r="B104" s="70">
        <v>60.1</v>
      </c>
    </row>
    <row r="105" spans="1:2">
      <c r="A105" s="70">
        <v>40000</v>
      </c>
      <c r="B105" s="70">
        <v>82.7</v>
      </c>
    </row>
    <row r="106" spans="1:2">
      <c r="A106" s="70">
        <v>40300</v>
      </c>
      <c r="B106" s="70">
        <v>83</v>
      </c>
    </row>
    <row r="107" spans="1:2">
      <c r="A107" s="70">
        <v>46700</v>
      </c>
      <c r="B107" s="70">
        <v>88.7</v>
      </c>
    </row>
  </sheetData>
  <sheetProtection algorithmName="SHA-512" hashValue="PAUNRYaRRLZiIPR7Xy2ihpLvZliToRcexNU6vJoEwAzSg3KjgQvnc+QA1LHDxGI0PP4j6BFpO8c6178J+6MiLg==" saltValue="qrzA6KQQyBg2ZT/1j9xvQA==" spinCount="100000" sheet="1" objects="1" scenarios="1"/>
  <mergeCells count="8">
    <mergeCell ref="Z2:AE43"/>
    <mergeCell ref="S2:X35"/>
    <mergeCell ref="A90:F90"/>
    <mergeCell ref="A91:F91"/>
    <mergeCell ref="A92:F92"/>
    <mergeCell ref="A1:B1"/>
    <mergeCell ref="A7:B7"/>
    <mergeCell ref="F15:G26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btTakeoffEnvelope">
          <controlPr defaultSize="0" autoLine="0" r:id="rId4">
            <anchor moveWithCells="1">
              <from>
                <xdr:col>3</xdr:col>
                <xdr:colOff>57150</xdr:colOff>
                <xdr:row>14</xdr:row>
                <xdr:rowOff>0</xdr:rowOff>
              </from>
              <to>
                <xdr:col>4</xdr:col>
                <xdr:colOff>647700</xdr:colOff>
                <xdr:row>15</xdr:row>
                <xdr:rowOff>76200</xdr:rowOff>
              </to>
            </anchor>
          </controlPr>
        </control>
      </mc:Choice>
      <mc:Fallback>
        <control shapeId="25601" r:id="rId3" name="btTakeoffEnvelope"/>
      </mc:Fallback>
    </mc:AlternateContent>
    <mc:AlternateContent xmlns:mc="http://schemas.openxmlformats.org/markup-compatibility/2006">
      <mc:Choice Requires="x14">
        <control shapeId="25602" r:id="rId5" name="btInflightEnvelope">
          <controlPr defaultSize="0" autoLine="0" r:id="rId6">
            <anchor moveWithCells="1">
              <from>
                <xdr:col>3</xdr:col>
                <xdr:colOff>85725</xdr:colOff>
                <xdr:row>15</xdr:row>
                <xdr:rowOff>161925</xdr:rowOff>
              </from>
              <to>
                <xdr:col>4</xdr:col>
                <xdr:colOff>657225</xdr:colOff>
                <xdr:row>17</xdr:row>
                <xdr:rowOff>76200</xdr:rowOff>
              </to>
            </anchor>
          </controlPr>
        </control>
      </mc:Choice>
      <mc:Fallback>
        <control shapeId="25602" r:id="rId5" name="btInflightEnvelope"/>
      </mc:Fallback>
    </mc:AlternateContent>
    <mc:AlternateContent xmlns:mc="http://schemas.openxmlformats.org/markup-compatibility/2006">
      <mc:Choice Requires="x14">
        <control shapeId="25603" r:id="rId7" name="btLandingEnvelope">
          <controlPr defaultSize="0" autoLine="0" r:id="rId8">
            <anchor moveWithCells="1">
              <from>
                <xdr:col>3</xdr:col>
                <xdr:colOff>66675</xdr:colOff>
                <xdr:row>17</xdr:row>
                <xdr:rowOff>171450</xdr:rowOff>
              </from>
              <to>
                <xdr:col>4</xdr:col>
                <xdr:colOff>666750</xdr:colOff>
                <xdr:row>19</xdr:row>
                <xdr:rowOff>76200</xdr:rowOff>
              </to>
            </anchor>
          </controlPr>
        </control>
      </mc:Choice>
      <mc:Fallback>
        <control shapeId="25603" r:id="rId7" name="btLandingEnvelope"/>
      </mc:Fallback>
    </mc:AlternateContent>
    <mc:AlternateContent xmlns:mc="http://schemas.openxmlformats.org/markup-compatibility/2006">
      <mc:Choice Requires="x14">
        <control shapeId="25604" r:id="rId9" name="btZeroFuelEnvelope">
          <controlPr defaultSize="0" autoLine="0" r:id="rId10">
            <anchor moveWithCells="1">
              <from>
                <xdr:col>3</xdr:col>
                <xdr:colOff>57150</xdr:colOff>
                <xdr:row>19</xdr:row>
                <xdr:rowOff>142875</xdr:rowOff>
              </from>
              <to>
                <xdr:col>4</xdr:col>
                <xdr:colOff>647700</xdr:colOff>
                <xdr:row>21</xdr:row>
                <xdr:rowOff>66675</xdr:rowOff>
              </to>
            </anchor>
          </controlPr>
        </control>
      </mc:Choice>
      <mc:Fallback>
        <control shapeId="25604" r:id="rId9" name="btZeroFuelEnvelope"/>
      </mc:Fallback>
    </mc:AlternateContent>
    <mc:AlternateContent xmlns:mc="http://schemas.openxmlformats.org/markup-compatibility/2006">
      <mc:Choice Requires="x14">
        <control shapeId="25605" r:id="rId11" name="btAltCG1Envelope">
          <controlPr defaultSize="0" autoLine="0" r:id="rId12">
            <anchor moveWithCells="1">
              <from>
                <xdr:col>3</xdr:col>
                <xdr:colOff>66675</xdr:colOff>
                <xdr:row>22</xdr:row>
                <xdr:rowOff>19050</xdr:rowOff>
              </from>
              <to>
                <xdr:col>4</xdr:col>
                <xdr:colOff>666750</xdr:colOff>
                <xdr:row>23</xdr:row>
                <xdr:rowOff>114300</xdr:rowOff>
              </to>
            </anchor>
          </controlPr>
        </control>
      </mc:Choice>
      <mc:Fallback>
        <control shapeId="25605" r:id="rId11" name="btAltCG1Envelope"/>
      </mc:Fallback>
    </mc:AlternateContent>
    <mc:AlternateContent xmlns:mc="http://schemas.openxmlformats.org/markup-compatibility/2006">
      <mc:Choice Requires="x14">
        <control shapeId="25606" r:id="rId13" name="btAltCG2Envelope">
          <controlPr defaultSize="0" autoLine="0" r:id="rId14">
            <anchor moveWithCells="1">
              <from>
                <xdr:col>3</xdr:col>
                <xdr:colOff>85725</xdr:colOff>
                <xdr:row>24</xdr:row>
                <xdr:rowOff>28575</xdr:rowOff>
              </from>
              <to>
                <xdr:col>4</xdr:col>
                <xdr:colOff>657225</xdr:colOff>
                <xdr:row>25</xdr:row>
                <xdr:rowOff>123825</xdr:rowOff>
              </to>
            </anchor>
          </controlPr>
        </control>
      </mc:Choice>
      <mc:Fallback>
        <control shapeId="25606" r:id="rId13" name="btAltCG2Envelope"/>
      </mc:Fallback>
    </mc:AlternateContent>
    <mc:AlternateContent xmlns:mc="http://schemas.openxmlformats.org/markup-compatibility/2006">
      <mc:Choice Requires="x14">
        <control shapeId="25607" r:id="rId15" name="btRecalculate">
          <controlPr defaultSize="0" autoLine="0" r:id="rId16">
            <anchor moveWithCells="1">
              <from>
                <xdr:col>4</xdr:col>
                <xdr:colOff>171450</xdr:colOff>
                <xdr:row>28</xdr:row>
                <xdr:rowOff>171450</xdr:rowOff>
              </from>
              <to>
                <xdr:col>5</xdr:col>
                <xdr:colOff>371475</xdr:colOff>
                <xdr:row>30</xdr:row>
                <xdr:rowOff>95250</xdr:rowOff>
              </to>
            </anchor>
          </controlPr>
        </control>
      </mc:Choice>
      <mc:Fallback>
        <control shapeId="25607" r:id="rId15" name="btRecalculate"/>
      </mc:Fallback>
    </mc:AlternateContent>
    <mc:AlternateContent xmlns:mc="http://schemas.openxmlformats.org/markup-compatibility/2006">
      <mc:Choice Requires="x14">
        <control shapeId="25608" r:id="rId17" name="btFerryZFMEnvelope">
          <controlPr defaultSize="0" autoLine="0" r:id="rId18">
            <anchor moveWithCells="1">
              <from>
                <xdr:col>3</xdr:col>
                <xdr:colOff>57150</xdr:colOff>
                <xdr:row>26</xdr:row>
                <xdr:rowOff>9525</xdr:rowOff>
              </from>
              <to>
                <xdr:col>4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25608" r:id="rId17" name="btFerryZFMEnvelop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C503F-E315-4773-968E-443444E00270}">
  <sheetPr codeName="tblLog" filterMode="1"/>
  <dimension ref="A1:AZ25"/>
  <sheetViews>
    <sheetView topLeftCell="AY25" workbookViewId="0">
      <selection activeCell="AZ24" sqref="AZ24"/>
    </sheetView>
  </sheetViews>
  <sheetFormatPr baseColWidth="10" defaultColWidth="11.42578125" defaultRowHeight="13.5"/>
  <cols>
    <col min="1" max="1" width="22.140625" style="99" bestFit="1" customWidth="1"/>
    <col min="2" max="2" width="21" style="99" customWidth="1"/>
    <col min="3" max="3" width="34.42578125" style="99" customWidth="1"/>
    <col min="4" max="4" width="14.5703125" style="99" customWidth="1"/>
    <col min="5" max="5" width="11.42578125" style="100"/>
    <col min="6" max="6" width="11.42578125" style="99"/>
    <col min="7" max="7" width="11.42578125" style="100"/>
    <col min="8" max="51" width="11.42578125" style="99"/>
    <col min="52" max="52" width="255.7109375" style="99" bestFit="1" customWidth="1"/>
    <col min="53" max="16384" width="11.42578125" style="99"/>
  </cols>
  <sheetData>
    <row r="1" spans="1:52" customFormat="1" ht="15.75">
      <c r="A1" s="101" t="s">
        <v>172</v>
      </c>
      <c r="B1" s="101" t="s">
        <v>177</v>
      </c>
      <c r="C1" s="101" t="s">
        <v>178</v>
      </c>
      <c r="D1" s="101" t="s">
        <v>179</v>
      </c>
      <c r="E1" s="101" t="s">
        <v>180</v>
      </c>
      <c r="F1" s="101" t="s">
        <v>181</v>
      </c>
      <c r="G1" s="101" t="s">
        <v>139</v>
      </c>
      <c r="H1" s="101" t="s">
        <v>9</v>
      </c>
      <c r="I1" s="101" t="s">
        <v>11</v>
      </c>
      <c r="J1" s="101" t="s">
        <v>182</v>
      </c>
      <c r="K1" s="101" t="s">
        <v>183</v>
      </c>
      <c r="L1" s="101" t="s">
        <v>184</v>
      </c>
      <c r="M1" s="101" t="s">
        <v>185</v>
      </c>
      <c r="N1" s="101" t="s">
        <v>186</v>
      </c>
      <c r="O1" s="101" t="s">
        <v>187</v>
      </c>
      <c r="P1" s="101" t="s">
        <v>188</v>
      </c>
      <c r="Q1" s="101" t="s">
        <v>189</v>
      </c>
      <c r="R1" s="101" t="s">
        <v>190</v>
      </c>
      <c r="S1" s="101" t="s">
        <v>191</v>
      </c>
      <c r="T1" s="101" t="s">
        <v>192</v>
      </c>
      <c r="U1" s="101" t="s">
        <v>193</v>
      </c>
      <c r="V1" s="101" t="s">
        <v>194</v>
      </c>
      <c r="W1" s="101" t="s">
        <v>195</v>
      </c>
      <c r="X1" s="101" t="s">
        <v>196</v>
      </c>
      <c r="Y1" s="101" t="s">
        <v>198</v>
      </c>
      <c r="Z1" s="101" t="s">
        <v>197</v>
      </c>
      <c r="AA1" s="101" t="s">
        <v>199</v>
      </c>
      <c r="AB1" s="101" t="s">
        <v>200</v>
      </c>
      <c r="AC1" s="101" t="s">
        <v>201</v>
      </c>
      <c r="AD1" s="101" t="s">
        <v>202</v>
      </c>
      <c r="AE1" s="101" t="s">
        <v>29</v>
      </c>
      <c r="AF1" s="101" t="s">
        <v>28</v>
      </c>
      <c r="AG1" s="101" t="s">
        <v>203</v>
      </c>
      <c r="AH1" s="101" t="s">
        <v>30</v>
      </c>
      <c r="AI1" s="102" t="s">
        <v>139</v>
      </c>
      <c r="AJ1" s="101" t="s">
        <v>204</v>
      </c>
      <c r="AK1" s="101" t="s">
        <v>205</v>
      </c>
      <c r="AL1" s="101" t="s">
        <v>206</v>
      </c>
      <c r="AM1" s="101" t="s">
        <v>207</v>
      </c>
      <c r="AN1" s="101" t="s">
        <v>208</v>
      </c>
      <c r="AO1" s="101" t="s">
        <v>36</v>
      </c>
      <c r="AP1" s="101" t="s">
        <v>209</v>
      </c>
      <c r="AQ1" s="101" t="s">
        <v>210</v>
      </c>
      <c r="AR1" s="101" t="s">
        <v>37</v>
      </c>
      <c r="AS1" s="101" t="s">
        <v>211</v>
      </c>
      <c r="AT1" s="101" t="s">
        <v>212</v>
      </c>
      <c r="AU1" s="101" t="s">
        <v>41</v>
      </c>
      <c r="AV1" s="101" t="s">
        <v>40</v>
      </c>
      <c r="AW1" s="101" t="s">
        <v>213</v>
      </c>
      <c r="AX1" s="101" t="s">
        <v>92</v>
      </c>
      <c r="AY1" s="101" t="s">
        <v>214</v>
      </c>
      <c r="AZ1" s="101" t="s">
        <v>216</v>
      </c>
    </row>
    <row r="2" spans="1:52" hidden="1">
      <c r="A2" s="98">
        <v>44596.432453703703</v>
      </c>
      <c r="B2" s="99" t="s">
        <v>173</v>
      </c>
      <c r="C2" s="99" t="s">
        <v>174</v>
      </c>
      <c r="D2" s="99">
        <v>1</v>
      </c>
    </row>
    <row r="3" spans="1:52" hidden="1">
      <c r="A3" s="98">
        <v>44596.43304398148</v>
      </c>
      <c r="B3" s="99" t="s">
        <v>173</v>
      </c>
      <c r="C3" s="99" t="s">
        <v>174</v>
      </c>
      <c r="D3" s="99">
        <v>2</v>
      </c>
    </row>
    <row r="4" spans="1:52" hidden="1">
      <c r="A4" s="98">
        <v>44596.452581018515</v>
      </c>
      <c r="B4" s="99" t="s">
        <v>173</v>
      </c>
      <c r="C4" s="99" t="s">
        <v>174</v>
      </c>
      <c r="D4" s="99">
        <v>3</v>
      </c>
      <c r="E4" s="100">
        <v>44595</v>
      </c>
      <c r="F4" s="99" t="s">
        <v>71</v>
      </c>
      <c r="G4" s="100">
        <v>44595</v>
      </c>
      <c r="H4" s="99">
        <v>34185</v>
      </c>
      <c r="I4" s="99">
        <v>46.46</v>
      </c>
      <c r="J4" s="99">
        <v>5</v>
      </c>
    </row>
    <row r="5" spans="1:52" hidden="1">
      <c r="A5" s="98">
        <v>44596.453113425923</v>
      </c>
      <c r="B5" s="99" t="s">
        <v>173</v>
      </c>
      <c r="C5" s="99" t="s">
        <v>174</v>
      </c>
      <c r="D5" s="99">
        <v>4</v>
      </c>
      <c r="E5" s="100" t="s">
        <v>152</v>
      </c>
      <c r="F5" s="99" t="s">
        <v>71</v>
      </c>
      <c r="G5" s="100" t="s">
        <v>152</v>
      </c>
    </row>
    <row r="6" spans="1:52" hidden="1">
      <c r="A6" s="98">
        <v>44596.454004629632</v>
      </c>
      <c r="B6" s="99" t="s">
        <v>173</v>
      </c>
      <c r="C6" s="99" t="s">
        <v>174</v>
      </c>
      <c r="D6" s="99">
        <v>5</v>
      </c>
      <c r="E6" s="100" t="s">
        <v>152</v>
      </c>
      <c r="F6" s="99" t="s">
        <v>71</v>
      </c>
      <c r="G6" s="100" t="s">
        <v>139</v>
      </c>
      <c r="H6" s="99">
        <v>34185</v>
      </c>
      <c r="I6" s="99">
        <v>46.46</v>
      </c>
      <c r="J6" s="99">
        <v>5</v>
      </c>
      <c r="K6" s="99">
        <v>380</v>
      </c>
      <c r="L6" s="99">
        <v>0</v>
      </c>
      <c r="M6" s="99">
        <v>0</v>
      </c>
      <c r="N6" s="99">
        <v>0</v>
      </c>
      <c r="O6" s="99">
        <v>0</v>
      </c>
      <c r="P6" s="99">
        <v>0</v>
      </c>
      <c r="Q6" s="99">
        <v>0</v>
      </c>
      <c r="R6" s="99">
        <v>0</v>
      </c>
      <c r="S6" s="99">
        <v>0</v>
      </c>
      <c r="T6" s="99">
        <v>5</v>
      </c>
      <c r="U6" s="99">
        <v>380</v>
      </c>
      <c r="V6" s="99">
        <v>0.78700000000000003</v>
      </c>
      <c r="W6" s="99" t="s">
        <v>176</v>
      </c>
      <c r="X6" s="99" t="s">
        <v>175</v>
      </c>
      <c r="Y6" s="99">
        <v>0</v>
      </c>
      <c r="Z6" s="99">
        <v>0</v>
      </c>
      <c r="AA6" s="99">
        <v>2000</v>
      </c>
      <c r="AB6" s="99">
        <v>23.080645161290324</v>
      </c>
      <c r="AC6" s="99">
        <v>2000</v>
      </c>
      <c r="AD6" s="99">
        <v>2380</v>
      </c>
      <c r="AE6" s="99">
        <v>36565</v>
      </c>
      <c r="AF6" s="99">
        <v>46700</v>
      </c>
      <c r="AG6" s="99">
        <v>10135</v>
      </c>
      <c r="AH6" s="99">
        <v>70.327600000000004</v>
      </c>
      <c r="AJ6" s="99">
        <v>8020</v>
      </c>
      <c r="AK6" s="99">
        <v>-8.1679999999999993</v>
      </c>
      <c r="AL6" s="99">
        <v>0</v>
      </c>
      <c r="AM6" s="99">
        <v>0</v>
      </c>
      <c r="AN6" s="99">
        <v>8020</v>
      </c>
      <c r="AO6" s="99">
        <v>44585</v>
      </c>
      <c r="AP6" s="99">
        <v>54000</v>
      </c>
      <c r="AQ6" s="99">
        <v>9415</v>
      </c>
      <c r="AR6" s="99">
        <v>62.159600000000005</v>
      </c>
      <c r="AS6" s="99">
        <v>4991</v>
      </c>
      <c r="AT6" s="99">
        <v>0.879</v>
      </c>
      <c r="AU6" s="99">
        <v>39594</v>
      </c>
      <c r="AV6" s="99">
        <v>49050</v>
      </c>
      <c r="AW6" s="99">
        <v>9456</v>
      </c>
      <c r="AX6" s="99">
        <v>61.280600000000007</v>
      </c>
      <c r="AY6" s="99">
        <v>9415</v>
      </c>
    </row>
    <row r="7" spans="1:52" hidden="1">
      <c r="A7" s="98">
        <v>44596.474872685183</v>
      </c>
      <c r="B7" s="99" t="s">
        <v>173</v>
      </c>
      <c r="C7" s="99" t="s">
        <v>174</v>
      </c>
      <c r="D7" s="99">
        <v>6</v>
      </c>
      <c r="E7" s="100" t="s">
        <v>152</v>
      </c>
      <c r="F7" s="99" t="s">
        <v>71</v>
      </c>
      <c r="G7" s="100" t="s">
        <v>139</v>
      </c>
      <c r="H7" s="99">
        <v>34185</v>
      </c>
      <c r="I7" s="99">
        <v>46.46</v>
      </c>
      <c r="J7" s="99">
        <v>2</v>
      </c>
      <c r="K7" s="99">
        <v>152</v>
      </c>
      <c r="L7" s="99">
        <v>0</v>
      </c>
      <c r="M7" s="99">
        <v>0</v>
      </c>
      <c r="N7" s="99">
        <v>0</v>
      </c>
      <c r="O7" s="99">
        <v>0</v>
      </c>
      <c r="P7" s="99">
        <v>0</v>
      </c>
      <c r="Q7" s="99">
        <v>0</v>
      </c>
      <c r="R7" s="99">
        <v>0</v>
      </c>
      <c r="S7" s="99">
        <v>0</v>
      </c>
      <c r="T7" s="99">
        <v>2</v>
      </c>
      <c r="U7" s="99">
        <v>152</v>
      </c>
      <c r="V7" s="99">
        <v>-1.4470000000000001</v>
      </c>
      <c r="W7" s="99" t="s">
        <v>176</v>
      </c>
      <c r="X7" s="99" t="s">
        <v>175</v>
      </c>
      <c r="Y7" s="99">
        <v>0</v>
      </c>
      <c r="Z7" s="99">
        <v>0</v>
      </c>
      <c r="AA7" s="99">
        <v>2000</v>
      </c>
      <c r="AB7" s="99">
        <v>23.080645161290324</v>
      </c>
      <c r="AC7" s="99">
        <v>2000</v>
      </c>
      <c r="AD7" s="99">
        <v>2152</v>
      </c>
      <c r="AE7" s="99">
        <v>36337</v>
      </c>
      <c r="AF7" s="99">
        <v>46700</v>
      </c>
      <c r="AG7" s="99">
        <v>10363</v>
      </c>
      <c r="AH7" s="99">
        <v>68.093599999999995</v>
      </c>
      <c r="AJ7" s="99">
        <v>8020</v>
      </c>
      <c r="AK7" s="99">
        <v>-8.1679999999999993</v>
      </c>
      <c r="AL7" s="99">
        <v>0</v>
      </c>
      <c r="AM7" s="99">
        <v>0</v>
      </c>
      <c r="AN7" s="99">
        <v>8020</v>
      </c>
      <c r="AO7" s="99">
        <v>44357</v>
      </c>
      <c r="AP7" s="99">
        <v>54000</v>
      </c>
      <c r="AQ7" s="99">
        <v>9643</v>
      </c>
      <c r="AR7" s="99">
        <v>59.925599999999996</v>
      </c>
      <c r="AS7" s="99">
        <v>4991</v>
      </c>
      <c r="AT7" s="99">
        <v>0.879</v>
      </c>
      <c r="AU7" s="99">
        <v>39366</v>
      </c>
      <c r="AV7" s="99">
        <v>49050</v>
      </c>
      <c r="AW7" s="99">
        <v>9684</v>
      </c>
      <c r="AX7" s="99">
        <v>59.046599999999998</v>
      </c>
      <c r="AY7" s="99">
        <v>9643</v>
      </c>
      <c r="AZ7" s="99" t="s">
        <v>215</v>
      </c>
    </row>
    <row r="8" spans="1:52" ht="409.5" hidden="1">
      <c r="A8" s="98">
        <v>44596.524085648147</v>
      </c>
      <c r="B8" s="99" t="s">
        <v>173</v>
      </c>
      <c r="C8" s="99" t="s">
        <v>219</v>
      </c>
      <c r="D8" s="99">
        <v>1</v>
      </c>
      <c r="E8" s="100" t="s">
        <v>152</v>
      </c>
      <c r="F8" s="99" t="s">
        <v>105</v>
      </c>
      <c r="G8" s="100" t="s">
        <v>139</v>
      </c>
      <c r="H8" s="99">
        <v>34010</v>
      </c>
      <c r="I8" s="99">
        <v>46.72</v>
      </c>
      <c r="J8" s="99">
        <v>0</v>
      </c>
      <c r="K8" s="99">
        <v>0</v>
      </c>
      <c r="L8" s="99">
        <v>1</v>
      </c>
      <c r="M8" s="99">
        <v>83</v>
      </c>
      <c r="N8" s="99">
        <v>1</v>
      </c>
      <c r="O8" s="99">
        <v>69</v>
      </c>
      <c r="P8" s="99">
        <v>0</v>
      </c>
      <c r="Q8" s="99">
        <v>0</v>
      </c>
      <c r="R8" s="99">
        <v>0</v>
      </c>
      <c r="S8" s="99">
        <v>0</v>
      </c>
      <c r="T8" s="99">
        <v>2</v>
      </c>
      <c r="U8" s="99">
        <v>152</v>
      </c>
      <c r="V8" s="99">
        <v>-2.145</v>
      </c>
      <c r="W8" s="99" t="s">
        <v>217</v>
      </c>
      <c r="X8" s="99" t="s">
        <v>171</v>
      </c>
      <c r="Y8" s="99">
        <v>0</v>
      </c>
      <c r="Z8" s="99">
        <v>0</v>
      </c>
      <c r="AA8" s="99">
        <v>0</v>
      </c>
      <c r="AB8" s="99">
        <v>0</v>
      </c>
      <c r="AC8" s="99">
        <v>0</v>
      </c>
      <c r="AD8" s="99">
        <v>152</v>
      </c>
      <c r="AE8" s="99">
        <v>34162</v>
      </c>
      <c r="AF8" s="99">
        <v>46700</v>
      </c>
      <c r="AG8" s="99">
        <v>12538</v>
      </c>
      <c r="AH8" s="99">
        <v>44.575000000000003</v>
      </c>
      <c r="AJ8" s="99">
        <v>8020</v>
      </c>
      <c r="AK8" s="99">
        <v>-8.1679999999999993</v>
      </c>
      <c r="AL8" s="99">
        <v>0</v>
      </c>
      <c r="AM8" s="99">
        <v>0</v>
      </c>
      <c r="AN8" s="99">
        <v>8020</v>
      </c>
      <c r="AO8" s="99">
        <v>42182</v>
      </c>
      <c r="AP8" s="99">
        <v>54000</v>
      </c>
      <c r="AQ8" s="99">
        <v>11818</v>
      </c>
      <c r="AR8" s="99">
        <v>36.407000000000004</v>
      </c>
      <c r="AS8" s="99">
        <v>4991</v>
      </c>
      <c r="AT8" s="99">
        <v>0.879</v>
      </c>
      <c r="AU8" s="99">
        <v>37191</v>
      </c>
      <c r="AV8" s="99">
        <v>49050</v>
      </c>
      <c r="AW8" s="99">
        <v>11859</v>
      </c>
      <c r="AX8" s="99">
        <v>35.528000000000006</v>
      </c>
      <c r="AY8" s="99">
        <v>11818</v>
      </c>
      <c r="AZ8" s="109" t="s">
        <v>218</v>
      </c>
    </row>
    <row r="9" spans="1:52" ht="409.5" hidden="1">
      <c r="A9" s="98">
        <v>44596.524189814816</v>
      </c>
      <c r="B9" s="99" t="s">
        <v>173</v>
      </c>
      <c r="C9" s="99" t="s">
        <v>219</v>
      </c>
      <c r="D9" s="99">
        <v>2</v>
      </c>
      <c r="E9" s="100" t="s">
        <v>152</v>
      </c>
      <c r="F9" s="99" t="s">
        <v>105</v>
      </c>
      <c r="G9" s="100" t="s">
        <v>139</v>
      </c>
      <c r="H9" s="99">
        <v>34010</v>
      </c>
      <c r="I9" s="99">
        <v>46.72</v>
      </c>
      <c r="J9" s="99">
        <v>0</v>
      </c>
      <c r="K9" s="99">
        <v>0</v>
      </c>
      <c r="L9" s="99">
        <v>1</v>
      </c>
      <c r="M9" s="99">
        <v>83</v>
      </c>
      <c r="N9" s="99">
        <v>1</v>
      </c>
      <c r="O9" s="99">
        <v>69</v>
      </c>
      <c r="P9" s="99">
        <v>0</v>
      </c>
      <c r="Q9" s="99">
        <v>0</v>
      </c>
      <c r="R9" s="99">
        <v>0</v>
      </c>
      <c r="S9" s="99">
        <v>0</v>
      </c>
      <c r="T9" s="99">
        <v>2</v>
      </c>
      <c r="U9" s="99">
        <v>152</v>
      </c>
      <c r="V9" s="99">
        <v>-2.145</v>
      </c>
      <c r="W9" s="99" t="s">
        <v>217</v>
      </c>
      <c r="X9" s="99" t="s">
        <v>171</v>
      </c>
      <c r="Y9" s="99">
        <v>0</v>
      </c>
      <c r="Z9" s="99">
        <v>0</v>
      </c>
      <c r="AA9" s="99">
        <v>0</v>
      </c>
      <c r="AB9" s="99">
        <v>0</v>
      </c>
      <c r="AC9" s="99">
        <v>0</v>
      </c>
      <c r="AD9" s="99">
        <v>152</v>
      </c>
      <c r="AE9" s="99">
        <v>34162</v>
      </c>
      <c r="AF9" s="99">
        <v>46700</v>
      </c>
      <c r="AG9" s="99">
        <v>12538</v>
      </c>
      <c r="AH9" s="99">
        <v>44.575000000000003</v>
      </c>
      <c r="AJ9" s="99">
        <v>8020</v>
      </c>
      <c r="AK9" s="99">
        <v>-8.1679999999999993</v>
      </c>
      <c r="AL9" s="99">
        <v>0</v>
      </c>
      <c r="AM9" s="99">
        <v>0</v>
      </c>
      <c r="AN9" s="99">
        <v>8020</v>
      </c>
      <c r="AO9" s="99">
        <v>42182</v>
      </c>
      <c r="AP9" s="99">
        <v>54000</v>
      </c>
      <c r="AQ9" s="99">
        <v>11818</v>
      </c>
      <c r="AR9" s="99">
        <v>36.407000000000004</v>
      </c>
      <c r="AS9" s="99">
        <v>4991</v>
      </c>
      <c r="AT9" s="99">
        <v>0.879</v>
      </c>
      <c r="AU9" s="99">
        <v>37191</v>
      </c>
      <c r="AV9" s="99">
        <v>49050</v>
      </c>
      <c r="AW9" s="99">
        <v>11859</v>
      </c>
      <c r="AX9" s="99">
        <v>35.528000000000006</v>
      </c>
      <c r="AY9" s="99">
        <v>11818</v>
      </c>
      <c r="AZ9" s="109" t="s">
        <v>218</v>
      </c>
    </row>
    <row r="10" spans="1:52" ht="409.5" hidden="1">
      <c r="A10" s="98">
        <v>44596.525023148148</v>
      </c>
      <c r="B10" s="99" t="s">
        <v>173</v>
      </c>
      <c r="C10" s="99" t="s">
        <v>219</v>
      </c>
      <c r="D10" s="99">
        <v>3</v>
      </c>
      <c r="E10" s="100" t="s">
        <v>152</v>
      </c>
      <c r="F10" s="99" t="s">
        <v>105</v>
      </c>
      <c r="G10" s="100" t="s">
        <v>139</v>
      </c>
      <c r="H10" s="99">
        <v>34010</v>
      </c>
      <c r="I10" s="99">
        <v>46.72</v>
      </c>
      <c r="J10" s="99">
        <v>0</v>
      </c>
      <c r="K10" s="99">
        <v>0</v>
      </c>
      <c r="L10" s="99">
        <v>1</v>
      </c>
      <c r="M10" s="99">
        <v>83</v>
      </c>
      <c r="N10" s="99">
        <v>1</v>
      </c>
      <c r="O10" s="99">
        <v>69</v>
      </c>
      <c r="P10" s="99">
        <v>0</v>
      </c>
      <c r="Q10" s="99">
        <v>0</v>
      </c>
      <c r="R10" s="99">
        <v>0</v>
      </c>
      <c r="S10" s="99">
        <v>0</v>
      </c>
      <c r="T10" s="99">
        <v>2</v>
      </c>
      <c r="U10" s="99">
        <v>152</v>
      </c>
      <c r="V10" s="99">
        <v>-2.145</v>
      </c>
      <c r="W10" s="99" t="s">
        <v>217</v>
      </c>
      <c r="X10" s="99" t="s">
        <v>171</v>
      </c>
      <c r="Y10" s="99">
        <v>0</v>
      </c>
      <c r="Z10" s="99">
        <v>0</v>
      </c>
      <c r="AA10" s="99">
        <v>0</v>
      </c>
      <c r="AB10" s="99">
        <v>0</v>
      </c>
      <c r="AC10" s="99">
        <v>0</v>
      </c>
      <c r="AD10" s="99">
        <v>152</v>
      </c>
      <c r="AE10" s="99">
        <v>34162</v>
      </c>
      <c r="AF10" s="99">
        <v>46700</v>
      </c>
      <c r="AG10" s="99">
        <v>12538</v>
      </c>
      <c r="AH10" s="99">
        <v>44.575000000000003</v>
      </c>
      <c r="AJ10" s="99">
        <v>8020</v>
      </c>
      <c r="AK10" s="99">
        <v>-8.1679999999999993</v>
      </c>
      <c r="AL10" s="99">
        <v>0</v>
      </c>
      <c r="AM10" s="99">
        <v>0</v>
      </c>
      <c r="AN10" s="99">
        <v>8020</v>
      </c>
      <c r="AO10" s="99">
        <v>42182</v>
      </c>
      <c r="AP10" s="99">
        <v>54000</v>
      </c>
      <c r="AQ10" s="99">
        <v>11818</v>
      </c>
      <c r="AR10" s="99">
        <v>36.407000000000004</v>
      </c>
      <c r="AS10" s="99">
        <v>4991</v>
      </c>
      <c r="AT10" s="99">
        <v>0.879</v>
      </c>
      <c r="AU10" s="99">
        <v>37191</v>
      </c>
      <c r="AV10" s="99">
        <v>49050</v>
      </c>
      <c r="AW10" s="99">
        <v>11859</v>
      </c>
      <c r="AX10" s="99">
        <v>35.528000000000006</v>
      </c>
      <c r="AY10" s="99">
        <v>11818</v>
      </c>
      <c r="AZ10" s="109" t="s">
        <v>218</v>
      </c>
    </row>
    <row r="11" spans="1:52" ht="409.5" hidden="1">
      <c r="A11" s="98">
        <v>44609.713495370372</v>
      </c>
      <c r="B11" s="99" t="s">
        <v>173</v>
      </c>
      <c r="C11" s="99" t="s">
        <v>221</v>
      </c>
      <c r="D11" s="99">
        <v>1</v>
      </c>
      <c r="E11" s="100" t="s">
        <v>152</v>
      </c>
      <c r="F11" s="99" t="s">
        <v>20</v>
      </c>
      <c r="G11" s="100" t="s">
        <v>139</v>
      </c>
      <c r="H11" s="99">
        <v>34010</v>
      </c>
      <c r="I11" s="99">
        <v>46.72</v>
      </c>
      <c r="J11" s="99">
        <v>0</v>
      </c>
      <c r="K11" s="99">
        <v>0</v>
      </c>
      <c r="L11" s="99">
        <v>1</v>
      </c>
      <c r="M11" s="99">
        <v>83</v>
      </c>
      <c r="N11" s="99">
        <v>1</v>
      </c>
      <c r="O11" s="99">
        <v>69</v>
      </c>
      <c r="P11" s="99">
        <v>0</v>
      </c>
      <c r="Q11" s="99">
        <v>0</v>
      </c>
      <c r="R11" s="99">
        <v>0</v>
      </c>
      <c r="S11" s="99">
        <v>0</v>
      </c>
      <c r="T11" s="99">
        <v>2</v>
      </c>
      <c r="U11" s="99">
        <v>152</v>
      </c>
      <c r="V11" s="99">
        <v>-2.145</v>
      </c>
      <c r="W11" s="99" t="s">
        <v>217</v>
      </c>
      <c r="X11" s="99" t="s">
        <v>171</v>
      </c>
      <c r="Y11" s="99">
        <v>0</v>
      </c>
      <c r="Z11" s="99">
        <v>0</v>
      </c>
      <c r="AA11" s="99">
        <v>0</v>
      </c>
      <c r="AB11" s="99">
        <v>0</v>
      </c>
      <c r="AC11" s="99">
        <v>0</v>
      </c>
      <c r="AD11" s="99">
        <v>152</v>
      </c>
      <c r="AE11" s="99">
        <v>34162</v>
      </c>
      <c r="AF11" s="99">
        <v>46700</v>
      </c>
      <c r="AG11" s="99">
        <v>12538</v>
      </c>
      <c r="AH11" s="99">
        <v>44.575000000000003</v>
      </c>
      <c r="AJ11" s="99">
        <v>8020</v>
      </c>
      <c r="AK11" s="99">
        <v>-8.1679999999999993</v>
      </c>
      <c r="AM11" s="99">
        <v>0</v>
      </c>
      <c r="AN11" s="99">
        <v>8020</v>
      </c>
      <c r="AO11" s="99">
        <v>42182</v>
      </c>
      <c r="AP11" s="99">
        <v>54000</v>
      </c>
      <c r="AQ11" s="99">
        <v>11818</v>
      </c>
      <c r="AR11" s="99">
        <v>36.407000000000004</v>
      </c>
      <c r="AS11" s="99">
        <v>4991</v>
      </c>
      <c r="AT11" s="99">
        <v>0.879</v>
      </c>
      <c r="AU11" s="99">
        <v>37191</v>
      </c>
      <c r="AV11" s="99">
        <v>49050</v>
      </c>
      <c r="AW11" s="99">
        <v>11859</v>
      </c>
      <c r="AX11" s="99">
        <v>35.528000000000006</v>
      </c>
      <c r="AY11" s="99">
        <v>11818</v>
      </c>
      <c r="AZ11" s="109" t="s">
        <v>218</v>
      </c>
    </row>
    <row r="12" spans="1:52" ht="189" hidden="1">
      <c r="A12" s="98">
        <v>44609.717893518522</v>
      </c>
      <c r="B12" s="99" t="s">
        <v>173</v>
      </c>
      <c r="C12" s="99" t="s">
        <v>224</v>
      </c>
      <c r="D12" s="99">
        <v>1</v>
      </c>
      <c r="E12" s="100" t="s">
        <v>152</v>
      </c>
      <c r="F12" s="99" t="s">
        <v>105</v>
      </c>
      <c r="G12" s="100" t="s">
        <v>139</v>
      </c>
      <c r="H12" s="99">
        <v>34012</v>
      </c>
      <c r="I12" s="99">
        <v>46.61</v>
      </c>
      <c r="J12" s="99">
        <v>101</v>
      </c>
      <c r="K12" s="99">
        <v>7676</v>
      </c>
      <c r="L12" s="99">
        <v>0</v>
      </c>
      <c r="M12" s="99">
        <v>0</v>
      </c>
      <c r="N12" s="99">
        <v>0</v>
      </c>
      <c r="O12" s="99">
        <v>0</v>
      </c>
      <c r="P12" s="99">
        <v>0</v>
      </c>
      <c r="Q12" s="99">
        <v>0</v>
      </c>
      <c r="R12" s="99">
        <v>0</v>
      </c>
      <c r="S12" s="99">
        <v>0</v>
      </c>
      <c r="T12" s="99">
        <v>101</v>
      </c>
      <c r="U12" s="99">
        <v>7676</v>
      </c>
      <c r="V12" s="99">
        <v>12.709</v>
      </c>
      <c r="W12" s="99" t="s">
        <v>176</v>
      </c>
      <c r="X12" s="99" t="s">
        <v>175</v>
      </c>
      <c r="Y12" s="99">
        <v>1046</v>
      </c>
      <c r="Z12" s="99">
        <v>-13.098619354838709</v>
      </c>
      <c r="AA12" s="99">
        <v>1046</v>
      </c>
      <c r="AB12" s="99">
        <v>12.071177419354839</v>
      </c>
      <c r="AC12" s="99">
        <v>2092</v>
      </c>
      <c r="AD12" s="99">
        <v>9768</v>
      </c>
      <c r="AE12" s="99">
        <v>43780</v>
      </c>
      <c r="AF12" s="99">
        <v>46700</v>
      </c>
      <c r="AG12" s="99">
        <v>2920</v>
      </c>
      <c r="AH12" s="99">
        <v>58.291600000000003</v>
      </c>
      <c r="AJ12" s="99">
        <v>6680</v>
      </c>
      <c r="AK12" s="99">
        <v>-4.266</v>
      </c>
      <c r="AM12" s="99">
        <v>0</v>
      </c>
      <c r="AN12" s="99">
        <v>6680</v>
      </c>
      <c r="AO12" s="99">
        <v>50460</v>
      </c>
      <c r="AP12" s="99">
        <v>54000</v>
      </c>
      <c r="AQ12" s="99">
        <v>3540</v>
      </c>
      <c r="AR12" s="99">
        <v>54.025600000000004</v>
      </c>
      <c r="AS12" s="99">
        <v>4991</v>
      </c>
      <c r="AT12" s="99">
        <v>0.879</v>
      </c>
      <c r="AU12" s="99">
        <v>45469</v>
      </c>
      <c r="AV12" s="99">
        <v>49050</v>
      </c>
      <c r="AW12" s="99">
        <v>3581</v>
      </c>
      <c r="AX12" s="99">
        <v>53.146600000000007</v>
      </c>
      <c r="AY12" s="99">
        <v>2920</v>
      </c>
      <c r="AZ12" s="109" t="s">
        <v>223</v>
      </c>
    </row>
    <row r="13" spans="1:52" ht="189" hidden="1">
      <c r="A13" s="98">
        <v>44609.719710648147</v>
      </c>
      <c r="B13" s="99" t="s">
        <v>173</v>
      </c>
      <c r="C13" s="99" t="s">
        <v>224</v>
      </c>
      <c r="D13" s="99">
        <v>2</v>
      </c>
      <c r="E13" s="100" t="s">
        <v>152</v>
      </c>
      <c r="F13" s="99" t="s">
        <v>105</v>
      </c>
      <c r="G13" s="100" t="s">
        <v>139</v>
      </c>
      <c r="H13" s="99">
        <v>34012</v>
      </c>
      <c r="I13" s="99">
        <v>46.61</v>
      </c>
      <c r="J13" s="99">
        <v>101</v>
      </c>
      <c r="K13" s="99">
        <v>7676</v>
      </c>
      <c r="L13" s="99">
        <v>0</v>
      </c>
      <c r="M13" s="99">
        <v>0</v>
      </c>
      <c r="N13" s="99">
        <v>0</v>
      </c>
      <c r="O13" s="99">
        <v>0</v>
      </c>
      <c r="P13" s="99">
        <v>0</v>
      </c>
      <c r="Q13" s="99">
        <v>0</v>
      </c>
      <c r="R13" s="99">
        <v>0</v>
      </c>
      <c r="S13" s="99">
        <v>0</v>
      </c>
      <c r="T13" s="99">
        <v>101</v>
      </c>
      <c r="U13" s="99">
        <v>7676</v>
      </c>
      <c r="V13" s="99">
        <v>12.709</v>
      </c>
      <c r="W13" s="99" t="s">
        <v>176</v>
      </c>
      <c r="X13" s="99" t="s">
        <v>175</v>
      </c>
      <c r="Y13" s="99">
        <v>1046</v>
      </c>
      <c r="Z13" s="99">
        <v>-13.098619354838709</v>
      </c>
      <c r="AA13" s="99">
        <v>1046</v>
      </c>
      <c r="AB13" s="99">
        <v>12.071177419354839</v>
      </c>
      <c r="AC13" s="99">
        <v>2092</v>
      </c>
      <c r="AD13" s="99">
        <v>9768</v>
      </c>
      <c r="AE13" s="99">
        <v>43780</v>
      </c>
      <c r="AF13" s="99">
        <v>46700</v>
      </c>
      <c r="AG13" s="99">
        <v>2920</v>
      </c>
      <c r="AH13" s="99">
        <v>58.291600000000003</v>
      </c>
      <c r="AJ13" s="99">
        <v>6680</v>
      </c>
      <c r="AK13" s="99">
        <v>-4.266</v>
      </c>
      <c r="AM13" s="99">
        <v>0</v>
      </c>
      <c r="AN13" s="99">
        <v>6680</v>
      </c>
      <c r="AO13" s="99">
        <v>50460</v>
      </c>
      <c r="AP13" s="99">
        <v>54000</v>
      </c>
      <c r="AQ13" s="99">
        <v>3540</v>
      </c>
      <c r="AR13" s="99">
        <v>54.025600000000004</v>
      </c>
      <c r="AS13" s="99">
        <v>4991</v>
      </c>
      <c r="AT13" s="99">
        <v>0.879</v>
      </c>
      <c r="AU13" s="99">
        <v>45469</v>
      </c>
      <c r="AV13" s="99">
        <v>49050</v>
      </c>
      <c r="AW13" s="99">
        <v>3581</v>
      </c>
      <c r="AX13" s="99">
        <v>53.146600000000007</v>
      </c>
      <c r="AY13" s="99">
        <v>2920</v>
      </c>
      <c r="AZ13" s="109" t="s">
        <v>223</v>
      </c>
    </row>
    <row r="14" spans="1:52" ht="189" hidden="1">
      <c r="A14" s="98">
        <v>44609.725787037038</v>
      </c>
      <c r="B14" s="99" t="s">
        <v>173</v>
      </c>
      <c r="C14" s="99" t="s">
        <v>224</v>
      </c>
      <c r="D14" s="99">
        <v>3</v>
      </c>
      <c r="E14" s="100" t="s">
        <v>152</v>
      </c>
      <c r="F14" s="99" t="s">
        <v>105</v>
      </c>
      <c r="G14" s="100" t="s">
        <v>139</v>
      </c>
      <c r="H14" s="99">
        <v>34012</v>
      </c>
      <c r="I14" s="99">
        <v>46.61</v>
      </c>
      <c r="J14" s="99">
        <v>101</v>
      </c>
      <c r="K14" s="99">
        <v>7676</v>
      </c>
      <c r="L14" s="99">
        <v>0</v>
      </c>
      <c r="M14" s="99">
        <v>0</v>
      </c>
      <c r="N14" s="99">
        <v>0</v>
      </c>
      <c r="O14" s="99">
        <v>0</v>
      </c>
      <c r="P14" s="99">
        <v>0</v>
      </c>
      <c r="Q14" s="99">
        <v>0</v>
      </c>
      <c r="R14" s="99">
        <v>0</v>
      </c>
      <c r="S14" s="99">
        <v>0</v>
      </c>
      <c r="T14" s="99">
        <v>101</v>
      </c>
      <c r="U14" s="99">
        <v>7676</v>
      </c>
      <c r="V14" s="99">
        <v>12.709</v>
      </c>
      <c r="W14" s="99" t="s">
        <v>176</v>
      </c>
      <c r="X14" s="99" t="s">
        <v>175</v>
      </c>
      <c r="Y14" s="99">
        <v>1046</v>
      </c>
      <c r="Z14" s="99">
        <v>-13.098619354838709</v>
      </c>
      <c r="AA14" s="99">
        <v>1046</v>
      </c>
      <c r="AB14" s="99">
        <v>12.071177419354839</v>
      </c>
      <c r="AC14" s="99">
        <v>2092</v>
      </c>
      <c r="AD14" s="99">
        <v>9768</v>
      </c>
      <c r="AE14" s="99">
        <v>43780</v>
      </c>
      <c r="AF14" s="99">
        <v>46700</v>
      </c>
      <c r="AG14" s="99">
        <v>2920</v>
      </c>
      <c r="AH14" s="99">
        <v>58.291600000000003</v>
      </c>
      <c r="AJ14" s="99">
        <v>6680</v>
      </c>
      <c r="AK14" s="99">
        <v>-4.266</v>
      </c>
      <c r="AM14" s="99">
        <v>0</v>
      </c>
      <c r="AN14" s="99">
        <v>6680</v>
      </c>
      <c r="AO14" s="99">
        <v>50460</v>
      </c>
      <c r="AP14" s="99">
        <v>54000</v>
      </c>
      <c r="AQ14" s="99">
        <v>3540</v>
      </c>
      <c r="AR14" s="99">
        <v>54.025600000000004</v>
      </c>
      <c r="AS14" s="99">
        <v>4991</v>
      </c>
      <c r="AT14" s="99">
        <v>0.879</v>
      </c>
      <c r="AU14" s="99">
        <v>45469</v>
      </c>
      <c r="AV14" s="99">
        <v>49050</v>
      </c>
      <c r="AW14" s="99">
        <v>3581</v>
      </c>
      <c r="AX14" s="99">
        <v>53.146600000000007</v>
      </c>
      <c r="AY14" s="99">
        <v>2920</v>
      </c>
      <c r="AZ14" s="109" t="s">
        <v>223</v>
      </c>
    </row>
    <row r="15" spans="1:52" ht="409.5" hidden="1">
      <c r="A15" s="98">
        <v>44612.672743055555</v>
      </c>
      <c r="B15" s="99" t="s">
        <v>227</v>
      </c>
      <c r="C15" s="99" t="s">
        <v>228</v>
      </c>
      <c r="D15" s="99">
        <v>1</v>
      </c>
      <c r="E15" s="100" t="s">
        <v>152</v>
      </c>
      <c r="F15" s="99" t="s">
        <v>105</v>
      </c>
      <c r="G15" s="100" t="s">
        <v>139</v>
      </c>
      <c r="H15" s="99">
        <v>34010</v>
      </c>
      <c r="I15" s="99">
        <v>46.72</v>
      </c>
      <c r="J15" s="99">
        <v>0</v>
      </c>
      <c r="K15" s="99">
        <v>0</v>
      </c>
      <c r="L15" s="99">
        <v>7</v>
      </c>
      <c r="M15" s="99">
        <v>581</v>
      </c>
      <c r="N15" s="99">
        <v>3</v>
      </c>
      <c r="O15" s="99">
        <v>207</v>
      </c>
      <c r="P15" s="99">
        <v>0</v>
      </c>
      <c r="Q15" s="99">
        <v>0</v>
      </c>
      <c r="R15" s="99">
        <v>0</v>
      </c>
      <c r="S15" s="99">
        <v>0</v>
      </c>
      <c r="T15" s="99">
        <v>10</v>
      </c>
      <c r="U15" s="99">
        <v>788</v>
      </c>
      <c r="V15" s="99">
        <v>-10.968999999999999</v>
      </c>
      <c r="W15" s="99" t="s">
        <v>217</v>
      </c>
      <c r="X15" s="99" t="s">
        <v>171</v>
      </c>
      <c r="Y15" s="99">
        <v>0</v>
      </c>
      <c r="Z15" s="99">
        <v>0</v>
      </c>
      <c r="AA15" s="99">
        <v>0</v>
      </c>
      <c r="AB15" s="99">
        <v>0</v>
      </c>
      <c r="AC15" s="99">
        <v>0</v>
      </c>
      <c r="AD15" s="99">
        <v>788</v>
      </c>
      <c r="AE15" s="99">
        <v>34798</v>
      </c>
      <c r="AF15" s="99">
        <v>46700</v>
      </c>
      <c r="AG15" s="99">
        <v>11902</v>
      </c>
      <c r="AH15" s="99">
        <v>35.750999999999998</v>
      </c>
      <c r="AJ15" s="99">
        <v>8000</v>
      </c>
      <c r="AK15" s="99">
        <v>-8.1679999999999993</v>
      </c>
      <c r="AM15" s="99">
        <v>0</v>
      </c>
      <c r="AN15" s="99">
        <v>8000</v>
      </c>
      <c r="AO15" s="99">
        <v>42798</v>
      </c>
      <c r="AP15" s="99">
        <v>54000</v>
      </c>
      <c r="AQ15" s="99">
        <v>11202</v>
      </c>
      <c r="AR15" s="99">
        <v>27.582999999999998</v>
      </c>
      <c r="AS15" s="99">
        <v>4991</v>
      </c>
      <c r="AT15" s="99">
        <v>0.879</v>
      </c>
      <c r="AU15" s="99">
        <v>37807</v>
      </c>
      <c r="AV15" s="99">
        <v>49050</v>
      </c>
      <c r="AW15" s="99">
        <v>11243</v>
      </c>
      <c r="AX15" s="99">
        <v>26.703999999999997</v>
      </c>
      <c r="AY15" s="99">
        <v>11202</v>
      </c>
      <c r="AZ15" s="109" t="s">
        <v>226</v>
      </c>
    </row>
    <row r="16" spans="1:52" ht="409.5" hidden="1">
      <c r="A16" s="98">
        <v>44612.672881944447</v>
      </c>
      <c r="B16" s="99" t="s">
        <v>227</v>
      </c>
      <c r="C16" s="99" t="s">
        <v>228</v>
      </c>
      <c r="D16" s="99">
        <v>2</v>
      </c>
      <c r="E16" s="100" t="s">
        <v>152</v>
      </c>
      <c r="F16" s="99" t="s">
        <v>105</v>
      </c>
      <c r="G16" s="100" t="s">
        <v>139</v>
      </c>
      <c r="H16" s="99">
        <v>34010</v>
      </c>
      <c r="I16" s="99">
        <v>46.72</v>
      </c>
      <c r="J16" s="99">
        <v>0</v>
      </c>
      <c r="K16" s="99">
        <v>0</v>
      </c>
      <c r="L16" s="99">
        <v>7</v>
      </c>
      <c r="M16" s="99">
        <v>581</v>
      </c>
      <c r="N16" s="99">
        <v>3</v>
      </c>
      <c r="O16" s="99">
        <v>207</v>
      </c>
      <c r="P16" s="99">
        <v>0</v>
      </c>
      <c r="Q16" s="99">
        <v>0</v>
      </c>
      <c r="R16" s="99">
        <v>0</v>
      </c>
      <c r="S16" s="99">
        <v>0</v>
      </c>
      <c r="T16" s="99">
        <v>10</v>
      </c>
      <c r="U16" s="99">
        <v>788</v>
      </c>
      <c r="V16" s="99">
        <v>-10.968999999999999</v>
      </c>
      <c r="W16" s="99" t="s">
        <v>217</v>
      </c>
      <c r="X16" s="99" t="s">
        <v>171</v>
      </c>
      <c r="Y16" s="99">
        <v>0</v>
      </c>
      <c r="Z16" s="99">
        <v>0</v>
      </c>
      <c r="AA16" s="99">
        <v>0</v>
      </c>
      <c r="AB16" s="99">
        <v>0</v>
      </c>
      <c r="AC16" s="99">
        <v>0</v>
      </c>
      <c r="AD16" s="99">
        <v>788</v>
      </c>
      <c r="AE16" s="99">
        <v>34798</v>
      </c>
      <c r="AF16" s="99">
        <v>46700</v>
      </c>
      <c r="AG16" s="99">
        <v>11902</v>
      </c>
      <c r="AH16" s="99">
        <v>35.750999999999998</v>
      </c>
      <c r="AJ16" s="99">
        <v>8000</v>
      </c>
      <c r="AK16" s="99">
        <v>-8.1679999999999993</v>
      </c>
      <c r="AM16" s="99">
        <v>0</v>
      </c>
      <c r="AN16" s="99">
        <v>8000</v>
      </c>
      <c r="AO16" s="99">
        <v>42798</v>
      </c>
      <c r="AP16" s="99">
        <v>54000</v>
      </c>
      <c r="AQ16" s="99">
        <v>11202</v>
      </c>
      <c r="AR16" s="99">
        <v>27.582999999999998</v>
      </c>
      <c r="AS16" s="99">
        <v>4991</v>
      </c>
      <c r="AT16" s="99">
        <v>0.879</v>
      </c>
      <c r="AU16" s="99">
        <v>37807</v>
      </c>
      <c r="AV16" s="99">
        <v>49050</v>
      </c>
      <c r="AW16" s="99">
        <v>11243</v>
      </c>
      <c r="AX16" s="99">
        <v>26.703999999999997</v>
      </c>
      <c r="AY16" s="99">
        <v>11202</v>
      </c>
      <c r="AZ16" s="109" t="s">
        <v>226</v>
      </c>
    </row>
    <row r="17" spans="1:52" ht="409.5" hidden="1">
      <c r="A17" s="98">
        <v>44612.673437500001</v>
      </c>
      <c r="B17" s="99" t="s">
        <v>227</v>
      </c>
      <c r="C17" s="99" t="s">
        <v>228</v>
      </c>
      <c r="D17" s="99">
        <v>3</v>
      </c>
      <c r="E17" s="100" t="s">
        <v>152</v>
      </c>
      <c r="F17" s="99" t="s">
        <v>105</v>
      </c>
      <c r="G17" s="100" t="s">
        <v>139</v>
      </c>
      <c r="H17" s="99">
        <v>34010</v>
      </c>
      <c r="I17" s="99">
        <v>46.72</v>
      </c>
      <c r="J17" s="99">
        <v>8</v>
      </c>
      <c r="K17" s="99">
        <v>608</v>
      </c>
      <c r="L17" s="99">
        <v>0</v>
      </c>
      <c r="M17" s="99">
        <v>0</v>
      </c>
      <c r="N17" s="99">
        <v>0</v>
      </c>
      <c r="O17" s="99">
        <v>0</v>
      </c>
      <c r="P17" s="99">
        <v>0</v>
      </c>
      <c r="Q17" s="99">
        <v>0</v>
      </c>
      <c r="R17" s="99">
        <v>0</v>
      </c>
      <c r="S17" s="99">
        <v>0</v>
      </c>
      <c r="T17" s="99">
        <v>8</v>
      </c>
      <c r="U17" s="99">
        <v>608</v>
      </c>
      <c r="V17" s="99">
        <v>10.292</v>
      </c>
      <c r="W17" s="99" t="s">
        <v>217</v>
      </c>
      <c r="X17" s="99" t="s">
        <v>175</v>
      </c>
      <c r="Y17" s="99">
        <v>0</v>
      </c>
      <c r="Z17" s="99">
        <v>0</v>
      </c>
      <c r="AA17" s="99">
        <v>0</v>
      </c>
      <c r="AB17" s="99">
        <v>0</v>
      </c>
      <c r="AC17" s="99">
        <v>0</v>
      </c>
      <c r="AD17" s="99">
        <v>608</v>
      </c>
      <c r="AE17" s="99">
        <v>34618</v>
      </c>
      <c r="AF17" s="99">
        <v>46700</v>
      </c>
      <c r="AG17" s="99">
        <v>12082</v>
      </c>
      <c r="AH17" s="99">
        <v>57.012</v>
      </c>
      <c r="AJ17" s="99">
        <v>8000</v>
      </c>
      <c r="AK17" s="99">
        <v>-8.1679999999999993</v>
      </c>
      <c r="AM17" s="99">
        <v>0</v>
      </c>
      <c r="AN17" s="99">
        <v>8000</v>
      </c>
      <c r="AO17" s="99">
        <v>42618</v>
      </c>
      <c r="AP17" s="99">
        <v>54000</v>
      </c>
      <c r="AQ17" s="99">
        <v>11382</v>
      </c>
      <c r="AR17" s="99">
        <v>48.844000000000001</v>
      </c>
      <c r="AS17" s="99">
        <v>4991</v>
      </c>
      <c r="AT17" s="99">
        <v>0.879</v>
      </c>
      <c r="AU17" s="99">
        <v>37627</v>
      </c>
      <c r="AV17" s="99">
        <v>49050</v>
      </c>
      <c r="AW17" s="99">
        <v>11423</v>
      </c>
      <c r="AX17" s="99">
        <v>47.965000000000003</v>
      </c>
      <c r="AY17" s="99">
        <v>11382</v>
      </c>
      <c r="AZ17" s="109" t="s">
        <v>229</v>
      </c>
    </row>
    <row r="18" spans="1:52" ht="409.5" hidden="1">
      <c r="A18" s="98">
        <v>44612.685717592591</v>
      </c>
      <c r="B18" s="99" t="s">
        <v>227</v>
      </c>
      <c r="C18" s="99" t="s">
        <v>228</v>
      </c>
      <c r="D18" s="99">
        <v>4</v>
      </c>
      <c r="E18" s="100" t="s">
        <v>152</v>
      </c>
      <c r="F18" s="99" t="s">
        <v>105</v>
      </c>
      <c r="G18" s="100" t="s">
        <v>139</v>
      </c>
      <c r="H18" s="99">
        <v>34010</v>
      </c>
      <c r="I18" s="99">
        <v>46.72</v>
      </c>
      <c r="J18" s="99">
        <v>8</v>
      </c>
      <c r="K18" s="99">
        <v>608</v>
      </c>
      <c r="L18" s="99">
        <v>0</v>
      </c>
      <c r="M18" s="99">
        <v>0</v>
      </c>
      <c r="N18" s="99">
        <v>0</v>
      </c>
      <c r="O18" s="99">
        <v>0</v>
      </c>
      <c r="P18" s="99">
        <v>0</v>
      </c>
      <c r="Q18" s="99">
        <v>0</v>
      </c>
      <c r="R18" s="99">
        <v>0</v>
      </c>
      <c r="S18" s="99">
        <v>0</v>
      </c>
      <c r="T18" s="99">
        <v>8</v>
      </c>
      <c r="U18" s="99">
        <v>608</v>
      </c>
      <c r="V18" s="99">
        <v>10.292</v>
      </c>
      <c r="W18" s="99" t="s">
        <v>217</v>
      </c>
      <c r="X18" s="99" t="s">
        <v>175</v>
      </c>
      <c r="Y18" s="99">
        <v>150</v>
      </c>
      <c r="Z18" s="99">
        <v>-1.8783870967741934</v>
      </c>
      <c r="AA18" s="99">
        <v>150</v>
      </c>
      <c r="AB18" s="99">
        <v>1.7310483870967743</v>
      </c>
      <c r="AC18" s="99">
        <v>300</v>
      </c>
      <c r="AD18" s="99">
        <v>908</v>
      </c>
      <c r="AE18" s="99">
        <v>34918</v>
      </c>
      <c r="AF18" s="99">
        <v>46700</v>
      </c>
      <c r="AG18" s="99">
        <v>11782</v>
      </c>
      <c r="AH18" s="99">
        <v>56.864699999999999</v>
      </c>
      <c r="AJ18" s="99">
        <v>8000</v>
      </c>
      <c r="AK18" s="99">
        <v>-8.1679999999999993</v>
      </c>
      <c r="AM18" s="99">
        <v>0</v>
      </c>
      <c r="AN18" s="99">
        <v>8000</v>
      </c>
      <c r="AO18" s="99">
        <v>42918</v>
      </c>
      <c r="AP18" s="99">
        <v>54000</v>
      </c>
      <c r="AQ18" s="99">
        <v>11082</v>
      </c>
      <c r="AR18" s="99">
        <v>48.6967</v>
      </c>
      <c r="AS18" s="99">
        <v>4991</v>
      </c>
      <c r="AT18" s="99">
        <v>0.879</v>
      </c>
      <c r="AU18" s="99">
        <v>37927</v>
      </c>
      <c r="AV18" s="99">
        <v>49050</v>
      </c>
      <c r="AW18" s="99">
        <v>11123</v>
      </c>
      <c r="AX18" s="99">
        <v>47.817700000000002</v>
      </c>
      <c r="AY18" s="99">
        <v>11082</v>
      </c>
      <c r="AZ18" s="109" t="s">
        <v>229</v>
      </c>
    </row>
    <row r="19" spans="1:52" ht="409.5" hidden="1">
      <c r="A19" s="98">
        <v>44612.688356481478</v>
      </c>
      <c r="B19" s="99" t="s">
        <v>227</v>
      </c>
      <c r="C19" s="99" t="s">
        <v>228</v>
      </c>
      <c r="D19" s="99">
        <v>5</v>
      </c>
      <c r="E19" s="100" t="s">
        <v>152</v>
      </c>
      <c r="F19" s="99" t="s">
        <v>105</v>
      </c>
      <c r="G19" s="100" t="s">
        <v>139</v>
      </c>
      <c r="H19" s="99">
        <v>34010</v>
      </c>
      <c r="I19" s="99">
        <v>46.72</v>
      </c>
      <c r="J19" s="99">
        <v>2</v>
      </c>
      <c r="K19" s="99">
        <v>152</v>
      </c>
      <c r="L19" s="99">
        <v>0</v>
      </c>
      <c r="M19" s="99">
        <v>0</v>
      </c>
      <c r="N19" s="99">
        <v>0</v>
      </c>
      <c r="O19" s="99">
        <v>0</v>
      </c>
      <c r="P19" s="99">
        <v>0</v>
      </c>
      <c r="Q19" s="99">
        <v>0</v>
      </c>
      <c r="R19" s="99">
        <v>0</v>
      </c>
      <c r="S19" s="99">
        <v>0</v>
      </c>
      <c r="T19" s="99">
        <v>2</v>
      </c>
      <c r="U19" s="99">
        <v>152</v>
      </c>
      <c r="V19" s="99">
        <v>2.6619999999999999</v>
      </c>
      <c r="W19" s="99" t="s">
        <v>217</v>
      </c>
      <c r="X19" s="99" t="s">
        <v>175</v>
      </c>
      <c r="Y19" s="99">
        <v>20</v>
      </c>
      <c r="Z19" s="99">
        <v>-0.25045161290322576</v>
      </c>
      <c r="AA19" s="99">
        <v>20</v>
      </c>
      <c r="AB19" s="99">
        <v>0.23080645161290325</v>
      </c>
      <c r="AC19" s="99">
        <v>40</v>
      </c>
      <c r="AD19" s="99">
        <v>192</v>
      </c>
      <c r="AE19" s="99">
        <v>34202</v>
      </c>
      <c r="AF19" s="99">
        <v>46700</v>
      </c>
      <c r="AG19" s="99">
        <v>12498</v>
      </c>
      <c r="AH19" s="99">
        <v>49.362400000000001</v>
      </c>
      <c r="AJ19" s="99">
        <v>8000</v>
      </c>
      <c r="AK19" s="99">
        <v>-8.1679999999999993</v>
      </c>
      <c r="AM19" s="99">
        <v>0</v>
      </c>
      <c r="AN19" s="99">
        <v>8000</v>
      </c>
      <c r="AO19" s="99">
        <v>42202</v>
      </c>
      <c r="AP19" s="99">
        <v>54000</v>
      </c>
      <c r="AQ19" s="99">
        <v>11798</v>
      </c>
      <c r="AR19" s="99">
        <v>41.194400000000002</v>
      </c>
      <c r="AS19" s="99">
        <v>4991</v>
      </c>
      <c r="AT19" s="99">
        <v>0.879</v>
      </c>
      <c r="AU19" s="99">
        <v>37211</v>
      </c>
      <c r="AV19" s="99">
        <v>49050</v>
      </c>
      <c r="AW19" s="99">
        <v>11839</v>
      </c>
      <c r="AX19" s="99">
        <v>40.315400000000004</v>
      </c>
      <c r="AY19" s="99">
        <v>11798</v>
      </c>
      <c r="AZ19" s="109" t="s">
        <v>230</v>
      </c>
    </row>
    <row r="20" spans="1:52" ht="189" hidden="1">
      <c r="A20" s="98">
        <v>44612.691099537034</v>
      </c>
      <c r="B20" s="99" t="s">
        <v>227</v>
      </c>
      <c r="C20" s="99" t="s">
        <v>228</v>
      </c>
      <c r="D20" s="99">
        <v>6</v>
      </c>
      <c r="E20" s="100" t="s">
        <v>152</v>
      </c>
      <c r="F20" s="99" t="s">
        <v>105</v>
      </c>
      <c r="G20" s="100" t="s">
        <v>139</v>
      </c>
      <c r="H20" s="99">
        <v>34010</v>
      </c>
      <c r="I20" s="99">
        <v>46.72</v>
      </c>
      <c r="J20" s="99">
        <v>4</v>
      </c>
      <c r="K20" s="99">
        <v>304</v>
      </c>
      <c r="L20" s="99">
        <v>0</v>
      </c>
      <c r="M20" s="99">
        <v>0</v>
      </c>
      <c r="N20" s="99">
        <v>0</v>
      </c>
      <c r="O20" s="99">
        <v>0</v>
      </c>
      <c r="P20" s="99">
        <v>0</v>
      </c>
      <c r="Q20" s="99">
        <v>0</v>
      </c>
      <c r="R20" s="99">
        <v>0</v>
      </c>
      <c r="S20" s="99">
        <v>0</v>
      </c>
      <c r="T20" s="99">
        <v>4</v>
      </c>
      <c r="U20" s="99">
        <v>304</v>
      </c>
      <c r="V20" s="99">
        <v>3.8820000000000001</v>
      </c>
      <c r="W20" s="99" t="s">
        <v>176</v>
      </c>
      <c r="X20" s="99" t="s">
        <v>175</v>
      </c>
      <c r="Y20" s="99">
        <v>0</v>
      </c>
      <c r="Z20" s="99">
        <v>0</v>
      </c>
      <c r="AA20" s="99">
        <v>20</v>
      </c>
      <c r="AB20" s="99">
        <v>0.23080645161290325</v>
      </c>
      <c r="AC20" s="99">
        <v>20</v>
      </c>
      <c r="AD20" s="99">
        <v>324</v>
      </c>
      <c r="AE20" s="99">
        <v>34334</v>
      </c>
      <c r="AF20" s="99">
        <v>46700</v>
      </c>
      <c r="AG20" s="99">
        <v>12366</v>
      </c>
      <c r="AH20" s="99">
        <v>50.832799999999999</v>
      </c>
      <c r="AJ20" s="99">
        <v>8000</v>
      </c>
      <c r="AK20" s="99">
        <v>-8.1679999999999993</v>
      </c>
      <c r="AM20" s="99">
        <v>0</v>
      </c>
      <c r="AN20" s="99">
        <v>8000</v>
      </c>
      <c r="AO20" s="99">
        <v>42334</v>
      </c>
      <c r="AP20" s="99">
        <v>54000</v>
      </c>
      <c r="AQ20" s="99">
        <v>11666</v>
      </c>
      <c r="AR20" s="99">
        <v>42.6648</v>
      </c>
      <c r="AS20" s="99">
        <v>4991</v>
      </c>
      <c r="AT20" s="99">
        <v>0.879</v>
      </c>
      <c r="AU20" s="99">
        <v>37343</v>
      </c>
      <c r="AV20" s="99">
        <v>49050</v>
      </c>
      <c r="AW20" s="99">
        <v>11707</v>
      </c>
      <c r="AX20" s="99">
        <v>41.785800000000002</v>
      </c>
      <c r="AY20" s="99">
        <v>11666</v>
      </c>
      <c r="AZ20" s="109" t="s">
        <v>231</v>
      </c>
    </row>
    <row r="21" spans="1:52" ht="189" hidden="1">
      <c r="A21" s="98">
        <v>44612.692314814813</v>
      </c>
      <c r="B21" s="99" t="s">
        <v>227</v>
      </c>
      <c r="C21" s="99" t="s">
        <v>228</v>
      </c>
      <c r="D21" s="99">
        <v>7</v>
      </c>
      <c r="E21" s="100" t="s">
        <v>152</v>
      </c>
      <c r="F21" s="99" t="s">
        <v>105</v>
      </c>
      <c r="G21" s="100" t="s">
        <v>139</v>
      </c>
      <c r="H21" s="99">
        <v>34010</v>
      </c>
      <c r="I21" s="99">
        <v>46.72</v>
      </c>
      <c r="J21" s="99">
        <v>4</v>
      </c>
      <c r="K21" s="99">
        <v>304</v>
      </c>
      <c r="L21" s="99">
        <v>0</v>
      </c>
      <c r="M21" s="99">
        <v>0</v>
      </c>
      <c r="N21" s="99">
        <v>0</v>
      </c>
      <c r="O21" s="99">
        <v>0</v>
      </c>
      <c r="P21" s="99">
        <v>0</v>
      </c>
      <c r="Q21" s="99">
        <v>0</v>
      </c>
      <c r="R21" s="99">
        <v>0</v>
      </c>
      <c r="S21" s="99">
        <v>0</v>
      </c>
      <c r="T21" s="99">
        <v>4</v>
      </c>
      <c r="U21" s="99">
        <v>304</v>
      </c>
      <c r="V21" s="99">
        <v>-2.8940000000000001</v>
      </c>
      <c r="W21" s="99" t="s">
        <v>176</v>
      </c>
      <c r="X21" s="99" t="s">
        <v>175</v>
      </c>
      <c r="Y21" s="99">
        <v>0</v>
      </c>
      <c r="Z21" s="99">
        <v>0</v>
      </c>
      <c r="AA21" s="99">
        <v>20</v>
      </c>
      <c r="AB21" s="99">
        <v>0.23080645161290325</v>
      </c>
      <c r="AC21" s="99">
        <v>20</v>
      </c>
      <c r="AD21" s="99">
        <v>324</v>
      </c>
      <c r="AE21" s="99">
        <v>34334</v>
      </c>
      <c r="AF21" s="99">
        <v>46700</v>
      </c>
      <c r="AG21" s="99">
        <v>12366</v>
      </c>
      <c r="AH21" s="99">
        <v>44.056800000000003</v>
      </c>
      <c r="AJ21" s="99">
        <v>8000</v>
      </c>
      <c r="AK21" s="99">
        <v>-8.1679999999999993</v>
      </c>
      <c r="AM21" s="99">
        <v>0</v>
      </c>
      <c r="AN21" s="99">
        <v>8000</v>
      </c>
      <c r="AO21" s="99">
        <v>42334</v>
      </c>
      <c r="AP21" s="99">
        <v>54000</v>
      </c>
      <c r="AQ21" s="99">
        <v>11666</v>
      </c>
      <c r="AR21" s="99">
        <v>35.888800000000003</v>
      </c>
      <c r="AS21" s="99">
        <v>4991</v>
      </c>
      <c r="AT21" s="99">
        <v>0.879</v>
      </c>
      <c r="AU21" s="99">
        <v>37343</v>
      </c>
      <c r="AV21" s="99">
        <v>49050</v>
      </c>
      <c r="AW21" s="99">
        <v>11707</v>
      </c>
      <c r="AX21" s="99">
        <v>35.009800000000006</v>
      </c>
      <c r="AY21" s="99">
        <v>11666</v>
      </c>
      <c r="AZ21" s="109" t="s">
        <v>232</v>
      </c>
    </row>
    <row r="22" spans="1:52" ht="189">
      <c r="A22" s="98">
        <v>44612.696087962962</v>
      </c>
      <c r="B22" s="99" t="s">
        <v>227</v>
      </c>
      <c r="C22" s="99" t="s">
        <v>228</v>
      </c>
      <c r="D22" s="99">
        <v>8</v>
      </c>
      <c r="E22" s="100" t="s">
        <v>152</v>
      </c>
      <c r="F22" s="99" t="s">
        <v>105</v>
      </c>
      <c r="G22" s="100" t="s">
        <v>139</v>
      </c>
      <c r="H22" s="99">
        <v>34010</v>
      </c>
      <c r="I22" s="99">
        <v>46.72</v>
      </c>
      <c r="J22" s="99">
        <v>4</v>
      </c>
      <c r="K22" s="99">
        <v>304</v>
      </c>
      <c r="L22" s="99">
        <v>0</v>
      </c>
      <c r="M22" s="99">
        <v>0</v>
      </c>
      <c r="N22" s="99">
        <v>0</v>
      </c>
      <c r="O22" s="99">
        <v>0</v>
      </c>
      <c r="P22" s="99">
        <v>0</v>
      </c>
      <c r="Q22" s="99">
        <v>0</v>
      </c>
      <c r="R22" s="99">
        <v>0</v>
      </c>
      <c r="S22" s="99">
        <v>0</v>
      </c>
      <c r="T22" s="99">
        <v>4</v>
      </c>
      <c r="U22" s="99">
        <v>304</v>
      </c>
      <c r="V22" s="99">
        <v>-2.8940000000000001</v>
      </c>
      <c r="W22" s="99" t="s">
        <v>176</v>
      </c>
      <c r="X22" s="99" t="s">
        <v>175</v>
      </c>
      <c r="Y22" s="99">
        <v>0</v>
      </c>
      <c r="Z22" s="99">
        <v>0</v>
      </c>
      <c r="AA22" s="99">
        <v>20</v>
      </c>
      <c r="AB22" s="99">
        <v>0.23080645161290325</v>
      </c>
      <c r="AC22" s="99">
        <v>20</v>
      </c>
      <c r="AD22" s="99">
        <v>324</v>
      </c>
      <c r="AE22" s="99">
        <v>34334</v>
      </c>
      <c r="AF22" s="99">
        <v>46700</v>
      </c>
      <c r="AG22" s="99">
        <v>12366</v>
      </c>
      <c r="AH22" s="99">
        <v>44.056800000000003</v>
      </c>
      <c r="AJ22" s="99">
        <v>12000</v>
      </c>
      <c r="AK22" s="99">
        <v>-18.193999999999999</v>
      </c>
      <c r="AM22" s="99">
        <v>0</v>
      </c>
      <c r="AN22" s="99">
        <v>12000</v>
      </c>
      <c r="AO22" s="99">
        <v>46334</v>
      </c>
      <c r="AP22" s="99">
        <v>54000</v>
      </c>
      <c r="AQ22" s="99">
        <v>7666</v>
      </c>
      <c r="AR22" s="99">
        <v>25.862800000000004</v>
      </c>
      <c r="AS22" s="99">
        <v>3500</v>
      </c>
      <c r="AT22" s="99">
        <v>0.52400000000000002</v>
      </c>
      <c r="AU22" s="99">
        <v>42834</v>
      </c>
      <c r="AV22" s="99">
        <v>49050</v>
      </c>
      <c r="AW22" s="99">
        <v>6216</v>
      </c>
      <c r="AX22" s="99">
        <v>25.338800000000003</v>
      </c>
      <c r="AY22" s="99">
        <v>6216</v>
      </c>
      <c r="AZ22" s="109" t="s">
        <v>232</v>
      </c>
    </row>
    <row r="23" spans="1:52" ht="189" hidden="1">
      <c r="A23" s="98">
        <v>44612.698854166665</v>
      </c>
      <c r="B23" s="99" t="s">
        <v>227</v>
      </c>
      <c r="C23" s="99" t="s">
        <v>228</v>
      </c>
      <c r="D23" s="99">
        <v>9</v>
      </c>
      <c r="E23" s="100" t="s">
        <v>152</v>
      </c>
      <c r="F23" s="99" t="s">
        <v>105</v>
      </c>
      <c r="G23" s="100" t="s">
        <v>139</v>
      </c>
      <c r="H23" s="99">
        <v>34010</v>
      </c>
      <c r="I23" s="99">
        <v>46.72</v>
      </c>
      <c r="J23" s="99">
        <v>0</v>
      </c>
      <c r="K23" s="99">
        <v>0</v>
      </c>
      <c r="L23" s="99">
        <v>0</v>
      </c>
      <c r="M23" s="99">
        <v>0</v>
      </c>
      <c r="N23" s="99">
        <v>0</v>
      </c>
      <c r="O23" s="99">
        <v>0</v>
      </c>
      <c r="P23" s="99">
        <v>0</v>
      </c>
      <c r="Q23" s="99">
        <v>0</v>
      </c>
      <c r="R23" s="99">
        <v>0</v>
      </c>
      <c r="S23" s="99">
        <v>0</v>
      </c>
      <c r="T23" s="99">
        <v>0</v>
      </c>
      <c r="U23" s="99">
        <v>0</v>
      </c>
      <c r="V23" s="99">
        <v>0</v>
      </c>
      <c r="W23" s="99" t="s">
        <v>176</v>
      </c>
      <c r="Y23" s="99">
        <v>0</v>
      </c>
      <c r="Z23" s="99">
        <v>0</v>
      </c>
      <c r="AA23" s="99">
        <v>20</v>
      </c>
      <c r="AB23" s="99">
        <v>0.23080645161290325</v>
      </c>
      <c r="AC23" s="99">
        <v>20</v>
      </c>
      <c r="AD23" s="99">
        <v>20</v>
      </c>
      <c r="AE23" s="99">
        <v>34030</v>
      </c>
      <c r="AF23" s="99">
        <v>46700</v>
      </c>
      <c r="AG23" s="99">
        <v>12670</v>
      </c>
      <c r="AH23" s="99">
        <v>46.950800000000001</v>
      </c>
      <c r="AJ23" s="99">
        <v>12000</v>
      </c>
      <c r="AK23" s="99">
        <v>-18.193999999999999</v>
      </c>
      <c r="AM23" s="99">
        <v>0</v>
      </c>
      <c r="AN23" s="99">
        <v>12000</v>
      </c>
      <c r="AO23" s="99">
        <v>46030</v>
      </c>
      <c r="AP23" s="99">
        <v>54000</v>
      </c>
      <c r="AQ23" s="99">
        <v>7970</v>
      </c>
      <c r="AR23" s="99">
        <v>28.756800000000002</v>
      </c>
      <c r="AS23" s="99">
        <v>3500</v>
      </c>
      <c r="AT23" s="99">
        <v>0.52400000000000002</v>
      </c>
      <c r="AU23" s="99">
        <v>42530</v>
      </c>
      <c r="AV23" s="99">
        <v>49050</v>
      </c>
      <c r="AW23" s="99">
        <v>6520</v>
      </c>
      <c r="AX23" s="99">
        <v>28.232800000000001</v>
      </c>
      <c r="AY23" s="99">
        <v>6520</v>
      </c>
      <c r="AZ23" s="109" t="s">
        <v>225</v>
      </c>
    </row>
    <row r="24" spans="1:52" ht="409.5">
      <c r="A24" s="98">
        <v>45198.52140046296</v>
      </c>
      <c r="B24" s="99" t="s">
        <v>173</v>
      </c>
      <c r="C24" s="99" t="s">
        <v>249</v>
      </c>
      <c r="D24" s="99">
        <v>1</v>
      </c>
      <c r="E24" s="100" t="s">
        <v>152</v>
      </c>
      <c r="F24" s="99" t="s">
        <v>71</v>
      </c>
      <c r="G24" s="100" t="s">
        <v>139</v>
      </c>
      <c r="H24" s="99">
        <v>34178</v>
      </c>
      <c r="I24" s="99">
        <v>46.53</v>
      </c>
      <c r="J24" s="99">
        <v>0</v>
      </c>
      <c r="K24" s="99">
        <v>0</v>
      </c>
      <c r="L24" s="99">
        <v>6</v>
      </c>
      <c r="M24" s="99">
        <v>498</v>
      </c>
      <c r="N24" s="99">
        <v>3</v>
      </c>
      <c r="O24" s="99">
        <v>207</v>
      </c>
      <c r="P24" s="99">
        <v>1</v>
      </c>
      <c r="Q24" s="99">
        <v>35</v>
      </c>
      <c r="R24" s="99">
        <v>0</v>
      </c>
      <c r="S24" s="99">
        <v>0</v>
      </c>
      <c r="T24" s="99">
        <v>10</v>
      </c>
      <c r="U24" s="99">
        <v>740</v>
      </c>
      <c r="V24" s="99">
        <v>-5.149</v>
      </c>
      <c r="W24" s="99" t="s">
        <v>217</v>
      </c>
      <c r="X24" s="99" t="s">
        <v>171</v>
      </c>
      <c r="Y24" s="99">
        <v>0</v>
      </c>
      <c r="Z24" s="99">
        <v>0</v>
      </c>
      <c r="AA24" s="99">
        <v>200</v>
      </c>
      <c r="AB24" s="99">
        <v>2.3080645161290327</v>
      </c>
      <c r="AC24" s="99">
        <v>200</v>
      </c>
      <c r="AD24" s="99">
        <v>940</v>
      </c>
      <c r="AE24" s="99">
        <v>35118</v>
      </c>
      <c r="AF24" s="99">
        <v>46700</v>
      </c>
      <c r="AG24" s="99">
        <v>11582</v>
      </c>
      <c r="AH24" s="99">
        <v>43.689100000000003</v>
      </c>
      <c r="AJ24" s="99">
        <v>6300</v>
      </c>
      <c r="AK24" s="99">
        <v>-3.7372000000000005</v>
      </c>
      <c r="AM24" s="99">
        <v>0</v>
      </c>
      <c r="AN24" s="99">
        <v>6300</v>
      </c>
      <c r="AO24" s="99">
        <v>41418</v>
      </c>
      <c r="AP24" s="99">
        <v>54000</v>
      </c>
      <c r="AQ24" s="99">
        <v>12582</v>
      </c>
      <c r="AR24" s="99">
        <v>39.951900000000002</v>
      </c>
      <c r="AS24" s="99">
        <v>2985</v>
      </c>
      <c r="AT24" s="99">
        <v>-0.17624000000000001</v>
      </c>
      <c r="AU24" s="99">
        <v>38433</v>
      </c>
      <c r="AV24" s="99">
        <v>49050</v>
      </c>
      <c r="AW24" s="99">
        <v>10617</v>
      </c>
      <c r="AX24" s="99">
        <v>40.128140000000002</v>
      </c>
      <c r="AY24" s="99">
        <v>10617</v>
      </c>
      <c r="AZ24" s="109" t="s">
        <v>239</v>
      </c>
    </row>
    <row r="25" spans="1:52" ht="409.5">
      <c r="A25" s="98">
        <v>45198.525046296294</v>
      </c>
      <c r="B25" s="99" t="s">
        <v>173</v>
      </c>
      <c r="C25" s="99" t="s">
        <v>255</v>
      </c>
      <c r="D25" s="99">
        <v>1</v>
      </c>
      <c r="E25" s="100" t="s">
        <v>152</v>
      </c>
      <c r="F25" s="99" t="s">
        <v>71</v>
      </c>
      <c r="G25" s="100" t="s">
        <v>139</v>
      </c>
      <c r="H25" s="99">
        <v>34178</v>
      </c>
      <c r="I25" s="99">
        <v>46.53</v>
      </c>
      <c r="J25" s="99">
        <v>0</v>
      </c>
      <c r="K25" s="99">
        <v>0</v>
      </c>
      <c r="L25" s="99">
        <v>6</v>
      </c>
      <c r="M25" s="99">
        <v>498</v>
      </c>
      <c r="N25" s="99">
        <v>3</v>
      </c>
      <c r="O25" s="99">
        <v>207</v>
      </c>
      <c r="P25" s="99">
        <v>1</v>
      </c>
      <c r="Q25" s="99">
        <v>35</v>
      </c>
      <c r="R25" s="99">
        <v>0</v>
      </c>
      <c r="S25" s="99">
        <v>0</v>
      </c>
      <c r="T25" s="99">
        <v>10</v>
      </c>
      <c r="U25" s="99">
        <v>740</v>
      </c>
      <c r="V25" s="99">
        <v>-5.149</v>
      </c>
      <c r="W25" s="99" t="s">
        <v>217</v>
      </c>
      <c r="X25" s="99" t="s">
        <v>171</v>
      </c>
      <c r="Y25" s="99">
        <v>100</v>
      </c>
      <c r="Z25" s="99">
        <v>-1.252258064516129</v>
      </c>
      <c r="AA25" s="99">
        <v>200</v>
      </c>
      <c r="AB25" s="99">
        <v>2.3080645161290327</v>
      </c>
      <c r="AC25" s="99">
        <v>300</v>
      </c>
      <c r="AD25" s="99">
        <v>1040</v>
      </c>
      <c r="AE25" s="99">
        <v>35218</v>
      </c>
      <c r="AF25" s="99">
        <v>46700</v>
      </c>
      <c r="AG25" s="99">
        <v>11482</v>
      </c>
      <c r="AH25" s="99">
        <v>42.436799999999998</v>
      </c>
      <c r="AJ25" s="99">
        <v>6300</v>
      </c>
      <c r="AK25" s="99">
        <v>-3.7372000000000005</v>
      </c>
      <c r="AM25" s="99">
        <v>0</v>
      </c>
      <c r="AN25" s="99">
        <v>6300</v>
      </c>
      <c r="AO25" s="99">
        <v>41518</v>
      </c>
      <c r="AP25" s="99">
        <v>54000</v>
      </c>
      <c r="AQ25" s="99">
        <v>12482</v>
      </c>
      <c r="AR25" s="99">
        <v>38.699599999999997</v>
      </c>
      <c r="AS25" s="99">
        <v>2985</v>
      </c>
      <c r="AT25" s="99">
        <v>-0.17624000000000001</v>
      </c>
      <c r="AU25" s="99">
        <v>38533</v>
      </c>
      <c r="AV25" s="99">
        <v>49050</v>
      </c>
      <c r="AW25" s="99">
        <v>10517</v>
      </c>
      <c r="AX25" s="99">
        <v>38.875839999999997</v>
      </c>
      <c r="AY25" s="99">
        <v>10517</v>
      </c>
      <c r="AZ25" s="109" t="s">
        <v>239</v>
      </c>
    </row>
  </sheetData>
  <sheetProtection algorithmName="SHA-512" hashValue="0oqBqheabe4uzdRZc3kE5Vy8uexMhdrXV+t1J7pJX+SXwlJpsuj/L4bRFnrJAUl3zjDWdBT6rhjrXyMamRmPaQ==" saltValue="iuRvYCMheTcJh+2sj8B3fg==" spinCount="100000" sheet="1" objects="1" scenarios="1"/>
  <autoFilter ref="A1:AZ23" xr:uid="{585C503F-E315-4773-968E-443444E00270}">
    <filterColumn colId="1">
      <filters>
        <filter val="Eberle Samuel"/>
      </filters>
    </filterColumn>
    <filterColumn colId="3">
      <filters>
        <filter val="8"/>
      </filters>
    </filterColumn>
  </autoFilter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A40D99A1E06EC64BA650A29CFD240A65" ma:contentTypeVersion="16" ma:contentTypeDescription="Ein neues Dokument erstellen." ma:contentTypeScope="" ma:versionID="6aad5f65474cf1402817ceaf01dfec36">
  <xsd:schema xmlns:xsd="http://www.w3.org/2001/XMLSchema" xmlns:xs="http://www.w3.org/2001/XMLSchema" xmlns:p="http://schemas.microsoft.com/office/2006/metadata/properties" xmlns:ns2="aba24cb6-5860-4047-968d-f6232cc5a5a5" xmlns:ns3="167b9125-62e0-4aeb-b41e-4bd3ff7b4870" targetNamespace="http://schemas.microsoft.com/office/2006/metadata/properties" ma:root="true" ma:fieldsID="723e63fcb6abc3f3ce88e266910ea893" ns2:_="" ns3:_="">
    <xsd:import namespace="aba24cb6-5860-4047-968d-f6232cc5a5a5"/>
    <xsd:import namespace="167b9125-62e0-4aeb-b41e-4bd3ff7b487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a24cb6-5860-4047-968d-f6232cc5a5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1affb76c-af22-45e8-b1e3-f20384bc0a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7b9125-62e0-4aeb-b41e-4bd3ff7b4870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93d3300e-2728-4d0b-8e2b-8129462e9f54}" ma:internalName="TaxCatchAll" ma:showField="CatchAllData" ma:web="167b9125-62e0-4aeb-b41e-4bd3ff7b487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ba24cb6-5860-4047-968d-f6232cc5a5a5">
      <Terms xmlns="http://schemas.microsoft.com/office/infopath/2007/PartnerControls"/>
    </lcf76f155ced4ddcb4097134ff3c332f>
    <TaxCatchAll xmlns="167b9125-62e0-4aeb-b41e-4bd3ff7b4870" xsi:nil="true"/>
  </documentManagement>
</p:properties>
</file>

<file path=customXml/itemProps1.xml><?xml version="1.0" encoding="utf-8"?>
<ds:datastoreItem xmlns:ds="http://schemas.openxmlformats.org/officeDocument/2006/customXml" ds:itemID="{01117AA8-A07E-4001-B3DD-64BA3DABDE2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64C847A-E264-4CD9-AF92-1A9CB36783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ba24cb6-5860-4047-968d-f6232cc5a5a5"/>
    <ds:schemaRef ds:uri="167b9125-62e0-4aeb-b41e-4bd3ff7b487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C03033F-C420-476C-B7A3-F252298D9EA9}">
  <ds:schemaRefs>
    <ds:schemaRef ds:uri="http://schemas.microsoft.com/office/2006/metadata/properties"/>
    <ds:schemaRef ds:uri="http://schemas.microsoft.com/office/infopath/2007/PartnerControls"/>
    <ds:schemaRef ds:uri="aba24cb6-5860-4047-968d-f6232cc5a5a5"/>
    <ds:schemaRef ds:uri="167b9125-62e0-4aeb-b41e-4bd3ff7b487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</vt:i4>
      </vt:variant>
    </vt:vector>
  </HeadingPairs>
  <TitlesOfParts>
    <vt:vector size="13" baseType="lpstr">
      <vt:lpstr>Crew</vt:lpstr>
      <vt:lpstr>Section Trim</vt:lpstr>
      <vt:lpstr>Seatrow Trim</vt:lpstr>
      <vt:lpstr>Loadsheet OCC</vt:lpstr>
      <vt:lpstr>Aircraft Data</vt:lpstr>
      <vt:lpstr>Loadsheet</vt:lpstr>
      <vt:lpstr>Pax</vt:lpstr>
      <vt:lpstr>Cargo</vt:lpstr>
      <vt:lpstr>Fuel</vt:lpstr>
      <vt:lpstr>Graph Calculation</vt:lpstr>
      <vt:lpstr>Tabelle1</vt:lpstr>
      <vt:lpstr>Log</vt:lpstr>
      <vt:lpstr>'Aircraft Data'!OLE_LINK16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Suhner Christian</dc:creator>
  <cp:lastModifiedBy>Kasiala Patrick</cp:lastModifiedBy>
  <cp:lastPrinted>2014-12-03T15:51:52Z</cp:lastPrinted>
  <dcterms:created xsi:type="dcterms:W3CDTF">2012-06-18T06:38:28Z</dcterms:created>
  <dcterms:modified xsi:type="dcterms:W3CDTF">2023-09-29T10:42:45Z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0x010100A40D99A1E06EC64BA650A29CFD240A65</vt:lpwstr>
  </property>
  <property fmtid="{D5CDD505-2E9C-101B-9397-08002B2CF9AE}" pid="3" name="MediaServiceImageTags">
    <vt:lpwstr/>
  </property>
</Properties>
</file>